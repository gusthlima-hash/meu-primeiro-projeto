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2" documentId="8_{6574CC44-C12B-45EE-A32B-4C9D98500C94}" xr6:coauthVersionLast="47" xr6:coauthVersionMax="47" xr10:uidLastSave="{172A64F8-FF89-44B7-9F83-B0DA77A00EB1}"/>
  <bookViews>
    <workbookView xWindow="28680" yWindow="-120" windowWidth="21840" windowHeight="13020" activeTab="1" xr2:uid="{00000000-000D-0000-FFFF-FFFF00000000}"/>
  </bookViews>
  <sheets>
    <sheet name="Orçamento de casamento" sheetId="1" r:id="rId1"/>
    <sheet name="Despesas" sheetId="2" r:id="rId2"/>
  </sheets>
  <definedNames>
    <definedName name="Total_da_Festa_est">Recepção[[#Totals],[ESTIMADO]]</definedName>
    <definedName name="Total_da_Festa_real">Recepção[[#Totals],[REAL]]</definedName>
    <definedName name="Total_da_Viagem_Transporte_est">Viagem[[#Totals],[ESTIMADO]]</definedName>
    <definedName name="Total_de_Decoração_est">Decorações[[#Totals],[ESTIMADO]]</definedName>
    <definedName name="Total_de_Decoração_real">Decorações[[#Totals],[REAL]]</definedName>
    <definedName name="Total_de_Flores_est">Flores[[#Totals],[ESTIMADO]]</definedName>
    <definedName name="Total_de_Flores_real">Flores[[#Totals],[REAL]]</definedName>
    <definedName name="Total_de_Fotografia_est">Fotografia[[#Totals],[ESTIMADO]]</definedName>
    <definedName name="Total_de_Fotografia_real">Fotografia[[#Totals],[REAL]]</definedName>
    <definedName name="Total_de_Impressão_gráfica_est">Impressão[[#Totals],[ESTIMADO]]</definedName>
    <definedName name="Total_de_Impressão_gráfica_real">Impressão[[#Totals],[REAL]]</definedName>
    <definedName name="Total_de_Música_entretenimento_est">Música[[#Totals],[ESTIMADO]]</definedName>
    <definedName name="Total_de_Música_entretenimento_real">Música[[#Totals],[REAL]]</definedName>
    <definedName name="Total_de_Outras_despesas_est">OutrasDespesas[[#Totals],[ESTIMADO]]</definedName>
    <definedName name="Total_de_Outras_despesas_real">OutrasDespesas[[#Totals],[REAL]]</definedName>
    <definedName name="Total_de_Presentes_est">Presentes[[#Totals],[ESTIMADO]]</definedName>
    <definedName name="Total_de_Presentes_real">Presentes[[#Totals],[REAL]]</definedName>
    <definedName name="Total_de_Roupas_est">Vestuário[[#Totals],[ESTIMADO]]</definedName>
    <definedName name="Total_de_Roupas_real">Vestuário[[#Totals],[REAL]]</definedName>
    <definedName name="Total_de_Viagem_transporte_real">Viagem[[#Totals],[REAL]]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12" i="1"/>
  <c r="C10" i="1"/>
  <c r="B4" i="1"/>
  <c r="D4" i="1" s="1"/>
  <c r="E66" i="2"/>
  <c r="E57" i="2"/>
  <c r="E58" i="2" l="1"/>
  <c r="E59" i="2" l="1"/>
  <c r="E60" i="2" l="1"/>
  <c r="E61" i="2" l="1"/>
  <c r="E62" i="2" s="1"/>
  <c r="C62" i="2"/>
  <c r="C11" i="1" s="1"/>
  <c r="D62" i="2"/>
  <c r="D11" i="1" s="1"/>
  <c r="E67" i="2"/>
  <c r="E68" i="2"/>
  <c r="E69" i="2"/>
  <c r="E70" i="2"/>
  <c r="C71" i="2"/>
  <c r="C12" i="1" s="1"/>
  <c r="D71" i="2"/>
  <c r="E71" i="2"/>
  <c r="E74" i="2"/>
  <c r="E75" i="2"/>
  <c r="E76" i="2"/>
  <c r="E77" i="2"/>
  <c r="E78" i="2"/>
  <c r="C79" i="2"/>
  <c r="C13" i="1" s="1"/>
  <c r="D79" i="2"/>
  <c r="D13" i="1" s="1"/>
  <c r="E82" i="2"/>
  <c r="E79" i="2" l="1"/>
  <c r="E83" i="2"/>
  <c r="E84" i="2" l="1"/>
  <c r="E85" i="2" s="1"/>
  <c r="C85" i="2"/>
  <c r="C14" i="1" s="1"/>
  <c r="D85" i="2"/>
  <c r="D14" i="1" s="1"/>
  <c r="E88" i="2"/>
  <c r="E89" i="2"/>
  <c r="E90" i="2"/>
  <c r="E91" i="2"/>
  <c r="E92" i="2" l="1"/>
  <c r="E93" i="2" l="1"/>
  <c r="E94" i="2" l="1"/>
  <c r="E95" i="2" l="1"/>
  <c r="E96" i="2" l="1"/>
  <c r="E97" i="2" l="1"/>
  <c r="E98" i="2" s="1"/>
  <c r="C98" i="2"/>
  <c r="C15" i="1" s="1"/>
  <c r="D98" i="2"/>
  <c r="D15" i="1" s="1"/>
  <c r="E13" i="1"/>
  <c r="E12" i="1"/>
  <c r="D54" i="2"/>
  <c r="C54" i="2"/>
  <c r="D47" i="2"/>
  <c r="C47" i="2"/>
  <c r="C9" i="1" s="1"/>
  <c r="E9" i="1" s="1"/>
  <c r="D35" i="2"/>
  <c r="C35" i="2"/>
  <c r="C8" i="1" s="1"/>
  <c r="D29" i="2"/>
  <c r="D7" i="1" s="1"/>
  <c r="C29" i="2"/>
  <c r="C7" i="1" s="1"/>
  <c r="D18" i="2"/>
  <c r="D6" i="1" s="1"/>
  <c r="C18" i="2"/>
  <c r="C6" i="1" s="1"/>
  <c r="E17" i="2"/>
  <c r="E53" i="2"/>
  <c r="E52" i="2"/>
  <c r="E51" i="2"/>
  <c r="E50" i="2"/>
  <c r="E54" i="2" s="1"/>
  <c r="E46" i="2"/>
  <c r="E45" i="2"/>
  <c r="E44" i="2"/>
  <c r="E43" i="2"/>
  <c r="E42" i="2"/>
  <c r="E41" i="2"/>
  <c r="E40" i="2"/>
  <c r="E39" i="2"/>
  <c r="E38" i="2"/>
  <c r="E47" i="2" s="1"/>
  <c r="E34" i="2"/>
  <c r="E33" i="2"/>
  <c r="E35" i="2"/>
  <c r="E28" i="2"/>
  <c r="E27" i="2"/>
  <c r="E26" i="2"/>
  <c r="E25" i="2"/>
  <c r="E24" i="2"/>
  <c r="E23" i="2"/>
  <c r="E22" i="2"/>
  <c r="E21" i="2"/>
  <c r="E29" i="2" s="1"/>
  <c r="E15" i="2"/>
  <c r="E16" i="2"/>
  <c r="E14" i="2"/>
  <c r="E13" i="2"/>
  <c r="E11" i="2"/>
  <c r="E10" i="2"/>
  <c r="E9" i="2"/>
  <c r="E8" i="2"/>
  <c r="E7" i="2"/>
  <c r="E12" i="2"/>
  <c r="E6" i="2"/>
  <c r="E5" i="2"/>
  <c r="E6" i="1" l="1"/>
  <c r="E15" i="1"/>
  <c r="E18" i="2"/>
  <c r="E14" i="1"/>
  <c r="E10" i="1"/>
  <c r="E11" i="1"/>
  <c r="D16" i="1"/>
  <c r="E8" i="1"/>
  <c r="E7" i="1"/>
  <c r="C16" i="1"/>
  <c r="E16" i="1" l="1"/>
</calcChain>
</file>

<file path=xl/sharedStrings.xml><?xml version="1.0" encoding="utf-8"?>
<sst xmlns="http://schemas.openxmlformats.org/spreadsheetml/2006/main" count="146" uniqueCount="106">
  <si>
    <t>Orçamento do Casamento</t>
  </si>
  <si>
    <t>Data do casamento:</t>
  </si>
  <si>
    <t>CATEGORIA</t>
  </si>
  <si>
    <t>Música</t>
  </si>
  <si>
    <t>Impressão</t>
  </si>
  <si>
    <t>Fotografia</t>
  </si>
  <si>
    <t>Decorações</t>
  </si>
  <si>
    <t>Flores</t>
  </si>
  <si>
    <t>Presentes</t>
  </si>
  <si>
    <t>Viagem</t>
  </si>
  <si>
    <t>Outros</t>
  </si>
  <si>
    <t>Despesas totais</t>
  </si>
  <si>
    <t>ESTIMADO</t>
  </si>
  <si>
    <t>Dias restantes:</t>
  </si>
  <si>
    <t>REAL</t>
  </si>
  <si>
    <t>ACIMA/ABAIXO</t>
  </si>
  <si>
    <t>Despesas</t>
  </si>
  <si>
    <t xml:space="preserve">VESTUÁRIO </t>
  </si>
  <si>
    <t>Anel(is) de noivado</t>
  </si>
  <si>
    <t>Traje/smoking do cônjuge 1</t>
  </si>
  <si>
    <t>Sapatos do cônjuge 1</t>
  </si>
  <si>
    <t>Joias do cônjuge 1</t>
  </si>
  <si>
    <t>Meias do cônjuge 1</t>
  </si>
  <si>
    <t>Anel do cônjuge 2</t>
  </si>
  <si>
    <t>Traje/smoking do cônjuge 2</t>
  </si>
  <si>
    <t>Véu/tiara do cônjuge 2</t>
  </si>
  <si>
    <t>Sapatos do cônjuge 2</t>
  </si>
  <si>
    <t>Joias do cônjuge 2</t>
  </si>
  <si>
    <t>Meias do cônjuge 2</t>
  </si>
  <si>
    <t>Total das roupas</t>
  </si>
  <si>
    <t>RECEPÇÃO*</t>
  </si>
  <si>
    <t>Taxas de salas/salão</t>
  </si>
  <si>
    <t>Mesas e cadeiras</t>
  </si>
  <si>
    <t>Alimentação</t>
  </si>
  <si>
    <t>Bebidas</t>
  </si>
  <si>
    <t>Roupa de mesa</t>
  </si>
  <si>
    <t>Bolo</t>
  </si>
  <si>
    <t>Lembranças</t>
  </si>
  <si>
    <t>Funcionários e gorjetas</t>
  </si>
  <si>
    <t>Total da festa</t>
  </si>
  <si>
    <t>* Exceto decoração e entretenimento</t>
  </si>
  <si>
    <t>MÚSICA/ENTRETENIMENTO</t>
  </si>
  <si>
    <t>Músicos para a cerimônia</t>
  </si>
  <si>
    <t>Banda/DJ para a festa</t>
  </si>
  <si>
    <t>Total de música/entretenimento</t>
  </si>
  <si>
    <t>PINTURA/PAPELARIA</t>
  </si>
  <si>
    <t>Convites</t>
  </si>
  <si>
    <t>Comunicados</t>
  </si>
  <si>
    <t>Cartões de agradecimento</t>
  </si>
  <si>
    <t>Papel de carta pessoal</t>
  </si>
  <si>
    <t>Livro de convidados</t>
  </si>
  <si>
    <t>Programas</t>
  </si>
  <si>
    <t>Guardanapos da festa</t>
  </si>
  <si>
    <t>Cartela de fósforos</t>
  </si>
  <si>
    <t>Caligrafia</t>
  </si>
  <si>
    <t>Total de impressões/papelaria</t>
  </si>
  <si>
    <t>FOTOGRAFIA</t>
  </si>
  <si>
    <t>Trajes formais</t>
  </si>
  <si>
    <t>Impressões adicionais</t>
  </si>
  <si>
    <t>Álbuns de fotos</t>
  </si>
  <si>
    <t>Videografia</t>
  </si>
  <si>
    <t>Total de fotografia</t>
  </si>
  <si>
    <t>DECORAÇÕES*</t>
  </si>
  <si>
    <t>Peças de centro</t>
  </si>
  <si>
    <t>Velas</t>
  </si>
  <si>
    <t>Iluminação</t>
  </si>
  <si>
    <t>Balões</t>
  </si>
  <si>
    <t>Total de decoração</t>
  </si>
  <si>
    <t>*Exceto flores</t>
  </si>
  <si>
    <t>FLORES</t>
  </si>
  <si>
    <t>Buquês</t>
  </si>
  <si>
    <t>Flores de lapela</t>
  </si>
  <si>
    <t>Corsages</t>
  </si>
  <si>
    <t>Cerimônia</t>
  </si>
  <si>
    <t>Recepção</t>
  </si>
  <si>
    <t>Total de flores</t>
  </si>
  <si>
    <t>PRESENTES</t>
  </si>
  <si>
    <t>Participantes</t>
  </si>
  <si>
    <t>Futuro cônjuge 1</t>
  </si>
  <si>
    <t>Futuro cônjuge 2</t>
  </si>
  <si>
    <t>Pais</t>
  </si>
  <si>
    <t>Leitores/outros participantes</t>
  </si>
  <si>
    <t>Total de presentes</t>
  </si>
  <si>
    <t>VIAGEM/TRANSPORTE</t>
  </si>
  <si>
    <t>Limusines/carrinhos</t>
  </si>
  <si>
    <t>Estacionamento</t>
  </si>
  <si>
    <t>Táxis</t>
  </si>
  <si>
    <t>Total de viagens/transporte</t>
  </si>
  <si>
    <t>OUTRAS DESPESAS</t>
  </si>
  <si>
    <t>Sacerdote</t>
  </si>
  <si>
    <t>Taxa da igreja/local da cerimônia</t>
  </si>
  <si>
    <t>Coordenador de casamento</t>
  </si>
  <si>
    <t>Jantar de ensaio</t>
  </si>
  <si>
    <t>Festa de noivado</t>
  </si>
  <si>
    <t>Chás de cozinha</t>
  </si>
  <si>
    <t>Salão de beleza</t>
  </si>
  <si>
    <t>Despedidas de solteira/solteiro</t>
  </si>
  <si>
    <t>Brunch</t>
  </si>
  <si>
    <t>Quartos de hotel</t>
  </si>
  <si>
    <t>Total de outras despesas</t>
  </si>
  <si>
    <t xml:space="preserve"> </t>
  </si>
  <si>
    <t>Vestuário</t>
  </si>
  <si>
    <t>Alianças</t>
  </si>
  <si>
    <t>Vestido</t>
  </si>
  <si>
    <t>ACIMA/ABAIXO/RESTANTE</t>
  </si>
  <si>
    <t>Decoração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</si>
</sst>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_(* #,##0.00_);_(* \(#,##0.00\);_(* &quot;-&quot;??_);_(@_)"/>
    <numFmt numFmtId="166" formatCode="#,##0.00_ ;\-#,##0.00\ "/>
    <numFmt numFmtId="167" formatCode="[$-416]d\-mmm\-yy;@"/>
  </numFmts>
  <fonts count="41">
    <font>
      <sz val="10"/>
      <name val="Arial"/>
      <family val="2"/>
      <scheme val="minor"/>
    </font>
    <font>
      <sz val="11"/>
      <color theme="1"/>
      <name val="Arial"/>
      <family val="2"/>
      <charset val="134"/>
      <scheme val="minor"/>
    </font>
    <font>
      <sz val="8"/>
      <name val="Arial"/>
      <family val="2"/>
    </font>
    <font>
      <b/>
      <sz val="10"/>
      <color theme="3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1"/>
      <scheme val="minor"/>
    </font>
    <font>
      <b/>
      <sz val="10"/>
      <color theme="0"/>
      <name val="Arial"/>
      <family val="2"/>
      <scheme val="minor"/>
    </font>
    <font>
      <i/>
      <sz val="10"/>
      <color theme="1" tint="0.24994659260841701"/>
      <name val="Fairwater Script"/>
      <family val="2"/>
      <scheme val="major"/>
    </font>
    <font>
      <sz val="26"/>
      <color theme="3"/>
      <name val="Fairwater Script"/>
      <family val="2"/>
      <scheme val="major"/>
    </font>
    <font>
      <sz val="10"/>
      <color theme="4" tint="0.79998168889431442"/>
      <name val="Arial"/>
      <family val="2"/>
      <scheme val="minor"/>
    </font>
    <font>
      <sz val="10"/>
      <color theme="0"/>
      <name val="Arial"/>
      <family val="2"/>
      <scheme val="minor"/>
    </font>
    <font>
      <sz val="11"/>
      <color theme="0"/>
      <name val="Calibri"/>
      <family val="2"/>
    </font>
    <font>
      <b/>
      <sz val="11.5"/>
      <color theme="0"/>
      <name val="Arial"/>
      <family val="2"/>
      <scheme val="minor"/>
    </font>
    <font>
      <b/>
      <sz val="9"/>
      <color theme="0"/>
      <name val="Arial"/>
      <family val="2"/>
      <scheme val="minor"/>
    </font>
    <font>
      <sz val="10"/>
      <name val="Arial"/>
      <family val="1"/>
      <charset val="238"/>
      <scheme val="minor"/>
    </font>
    <font>
      <b/>
      <sz val="11.5"/>
      <color theme="7" tint="-0.499984740745262"/>
      <name val="Arial"/>
      <family val="2"/>
      <scheme val="minor"/>
    </font>
    <font>
      <sz val="8"/>
      <name val="Arial"/>
      <family val="2"/>
      <scheme val="minor"/>
    </font>
    <font>
      <i/>
      <sz val="10"/>
      <color theme="3" tint="-0.499984740745262"/>
      <name val="Arial"/>
      <family val="2"/>
    </font>
    <font>
      <b/>
      <sz val="10"/>
      <color theme="3" tint="-0.749992370372631"/>
      <name val="Arial"/>
      <family val="2"/>
    </font>
    <font>
      <sz val="10"/>
      <color theme="3" tint="-0.749992370372631"/>
      <name val="Arial"/>
      <family val="2"/>
    </font>
    <font>
      <sz val="14"/>
      <color theme="3" tint="-0.499984740745262"/>
      <name val="Arial"/>
      <family val="2"/>
    </font>
    <font>
      <sz val="14"/>
      <color theme="0"/>
      <name val="Arial"/>
      <family val="2"/>
    </font>
    <font>
      <sz val="14"/>
      <name val="Arial"/>
      <family val="2"/>
    </font>
    <font>
      <sz val="12"/>
      <color theme="3" tint="-0.499984740745262"/>
      <name val="Arial"/>
      <family val="2"/>
      <scheme val="minor"/>
    </font>
    <font>
      <b/>
      <sz val="18"/>
      <color theme="3" tint="-0.499984740745262"/>
      <name val="Arial"/>
      <family val="2"/>
      <scheme val="minor"/>
    </font>
    <font>
      <b/>
      <sz val="10"/>
      <color theme="3" tint="-0.749992370372631"/>
      <name val="Arial"/>
      <family val="2"/>
      <scheme val="minor"/>
    </font>
    <font>
      <sz val="10"/>
      <color theme="3" tint="-0.749992370372631"/>
      <name val="Arial"/>
      <family val="2"/>
      <scheme val="minor"/>
    </font>
    <font>
      <sz val="10"/>
      <name val="Arial"/>
      <family val="2"/>
      <scheme val="minor"/>
    </font>
    <font>
      <b/>
      <sz val="11"/>
      <color theme="3"/>
      <name val="Arial"/>
      <family val="2"/>
      <charset val="134"/>
      <scheme val="minor"/>
    </font>
    <font>
      <sz val="11"/>
      <color rgb="FF006100"/>
      <name val="Arial"/>
      <family val="2"/>
      <charset val="134"/>
      <scheme val="minor"/>
    </font>
    <font>
      <sz val="11"/>
      <color rgb="FF9C0006"/>
      <name val="Arial"/>
      <family val="2"/>
      <charset val="134"/>
      <scheme val="minor"/>
    </font>
    <font>
      <sz val="11"/>
      <color rgb="FF9C5700"/>
      <name val="Arial"/>
      <family val="2"/>
      <charset val="134"/>
      <scheme val="minor"/>
    </font>
    <font>
      <sz val="11"/>
      <color rgb="FF3F3F76"/>
      <name val="Arial"/>
      <family val="2"/>
      <charset val="134"/>
      <scheme val="minor"/>
    </font>
    <font>
      <b/>
      <sz val="11"/>
      <color rgb="FF3F3F3F"/>
      <name val="Arial"/>
      <family val="2"/>
      <charset val="134"/>
      <scheme val="minor"/>
    </font>
    <font>
      <b/>
      <sz val="11"/>
      <color rgb="FFFA7D00"/>
      <name val="Arial"/>
      <family val="2"/>
      <charset val="134"/>
      <scheme val="minor"/>
    </font>
    <font>
      <sz val="11"/>
      <color rgb="FFFA7D00"/>
      <name val="Arial"/>
      <family val="2"/>
      <charset val="134"/>
      <scheme val="minor"/>
    </font>
    <font>
      <b/>
      <sz val="11"/>
      <color theme="0"/>
      <name val="Arial"/>
      <family val="2"/>
      <charset val="134"/>
      <scheme val="minor"/>
    </font>
    <font>
      <sz val="11"/>
      <color rgb="FFFF0000"/>
      <name val="Arial"/>
      <family val="2"/>
      <charset val="134"/>
      <scheme val="minor"/>
    </font>
    <font>
      <sz val="11"/>
      <color theme="0"/>
      <name val="Arial"/>
      <family val="2"/>
      <charset val="134"/>
      <scheme val="minor"/>
    </font>
    <font>
      <i/>
      <sz val="42"/>
      <color theme="3" tint="-0.499984740745262"/>
      <name val="Calibri"/>
      <family val="2"/>
    </font>
    <font>
      <i/>
      <sz val="42"/>
      <color theme="3" tint="-0.249977111117893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7">
    <xf numFmtId="4" fontId="0" fillId="0" borderId="0"/>
    <xf numFmtId="0" fontId="3" fillId="0" borderId="0" applyNumberFormat="0" applyFill="0" applyProtection="0">
      <alignment vertical="center"/>
    </xf>
    <xf numFmtId="0" fontId="3" fillId="5" borderId="0" applyNumberFormat="0" applyBorder="0" applyProtection="0">
      <alignment vertical="center"/>
    </xf>
    <xf numFmtId="0" fontId="15" fillId="0" borderId="1" applyNumberFormat="0" applyProtection="0">
      <alignment horizontal="center" vertical="center"/>
    </xf>
    <xf numFmtId="0" fontId="7" fillId="0" borderId="0" applyNumberFormat="0" applyFill="0" applyBorder="0" applyAlignment="0" applyProtection="0"/>
    <xf numFmtId="0" fontId="3" fillId="4" borderId="0" applyNumberFormat="0" applyAlignment="0" applyProtection="0"/>
    <xf numFmtId="4" fontId="4" fillId="3" borderId="0" applyBorder="0" applyProtection="0">
      <alignment horizontal="right" indent="1"/>
    </xf>
    <xf numFmtId="0" fontId="8" fillId="0" borderId="0" applyNumberFormat="0" applyFill="0" applyBorder="0" applyProtection="0">
      <alignment vertical="center"/>
    </xf>
    <xf numFmtId="165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8" borderId="0" applyNumberFormat="0" applyBorder="0" applyAlignment="0" applyProtection="0"/>
    <xf numFmtId="0" fontId="30" fillId="9" borderId="0" applyNumberFormat="0" applyBorder="0" applyAlignment="0" applyProtection="0"/>
    <xf numFmtId="0" fontId="31" fillId="10" borderId="0" applyNumberFormat="0" applyBorder="0" applyAlignment="0" applyProtection="0"/>
    <xf numFmtId="0" fontId="32" fillId="11" borderId="6" applyNumberFormat="0" applyAlignment="0" applyProtection="0"/>
    <xf numFmtId="0" fontId="33" fillId="12" borderId="7" applyNumberFormat="0" applyAlignment="0" applyProtection="0"/>
    <xf numFmtId="0" fontId="34" fillId="12" borderId="6" applyNumberFormat="0" applyAlignment="0" applyProtection="0"/>
    <xf numFmtId="0" fontId="35" fillId="0" borderId="8" applyNumberFormat="0" applyFill="0" applyAlignment="0" applyProtection="0"/>
    <xf numFmtId="0" fontId="36" fillId="13" borderId="9" applyNumberFormat="0" applyAlignment="0" applyProtection="0"/>
    <xf numFmtId="0" fontId="37" fillId="0" borderId="0" applyNumberFormat="0" applyFill="0" applyBorder="0" applyAlignment="0" applyProtection="0"/>
    <xf numFmtId="0" fontId="27" fillId="14" borderId="10" applyNumberFormat="0" applyFont="0" applyAlignment="0" applyProtection="0"/>
    <xf numFmtId="0" fontId="3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8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</cellStyleXfs>
  <cellXfs count="49">
    <xf numFmtId="4" fontId="0" fillId="0" borderId="0" xfId="0"/>
    <xf numFmtId="4" fontId="0" fillId="0" borderId="0" xfId="0" applyAlignment="1">
      <alignment horizontal="left" vertical="center" indent="1"/>
    </xf>
    <xf numFmtId="39" fontId="0" fillId="0" borderId="0" xfId="0" applyNumberFormat="1"/>
    <xf numFmtId="4" fontId="10" fillId="0" borderId="0" xfId="0" applyFont="1" applyAlignment="1">
      <alignment horizontal="right" vertical="center" wrapText="1"/>
    </xf>
    <xf numFmtId="4" fontId="11" fillId="0" borderId="0" xfId="0" applyFont="1" applyAlignment="1">
      <alignment vertical="center" wrapText="1"/>
    </xf>
    <xf numFmtId="4" fontId="10" fillId="0" borderId="0" xfId="0" applyFont="1" applyAlignment="1">
      <alignment horizontal="left" vertical="center" wrapText="1"/>
    </xf>
    <xf numFmtId="4" fontId="10" fillId="0" borderId="0" xfId="0" applyFont="1" applyAlignment="1">
      <alignment wrapText="1"/>
    </xf>
    <xf numFmtId="4" fontId="6" fillId="2" borderId="0" xfId="0" applyFont="1" applyFill="1" applyAlignment="1">
      <alignment vertical="center" wrapText="1"/>
    </xf>
    <xf numFmtId="4" fontId="12" fillId="0" borderId="0" xfId="0" applyFont="1" applyAlignment="1">
      <alignment wrapText="1"/>
    </xf>
    <xf numFmtId="4" fontId="5" fillId="2" borderId="0" xfId="0" applyFont="1" applyFill="1" applyAlignment="1">
      <alignment vertical="center" wrapText="1"/>
    </xf>
    <xf numFmtId="39" fontId="13" fillId="0" borderId="0" xfId="0" applyNumberFormat="1" applyFont="1" applyAlignment="1">
      <alignment vertical="center" wrapText="1"/>
    </xf>
    <xf numFmtId="4" fontId="14" fillId="0" borderId="0" xfId="0" applyFont="1" applyAlignment="1">
      <alignment horizontal="left" vertical="center" wrapText="1"/>
    </xf>
    <xf numFmtId="4" fontId="9" fillId="0" borderId="0" xfId="0" applyFont="1"/>
    <xf numFmtId="4" fontId="9" fillId="2" borderId="2" xfId="0" applyFont="1" applyFill="1" applyBorder="1"/>
    <xf numFmtId="4" fontId="9" fillId="2" borderId="5" xfId="0" applyFont="1" applyFill="1" applyBorder="1"/>
    <xf numFmtId="4" fontId="14" fillId="0" borderId="0" xfId="0" applyFont="1" applyAlignment="1">
      <alignment horizontal="center" vertical="center"/>
    </xf>
    <xf numFmtId="4" fontId="14" fillId="0" borderId="0" xfId="0" applyFont="1" applyAlignment="1">
      <alignment horizontal="right" vertical="center"/>
    </xf>
    <xf numFmtId="0" fontId="17" fillId="0" borderId="0" xfId="4" applyFont="1" applyAlignment="1">
      <alignment horizontal="left" vertical="center"/>
    </xf>
    <xf numFmtId="0" fontId="17" fillId="0" borderId="0" xfId="4" applyFont="1" applyAlignment="1">
      <alignment vertical="center"/>
    </xf>
    <xf numFmtId="0" fontId="17" fillId="0" borderId="0" xfId="4" applyFont="1" applyAlignment="1">
      <alignment horizontal="center" vertical="center"/>
    </xf>
    <xf numFmtId="4" fontId="9" fillId="7" borderId="0" xfId="0" applyFont="1" applyFill="1"/>
    <xf numFmtId="4" fontId="21" fillId="0" borderId="0" xfId="0" applyFont="1" applyAlignment="1">
      <alignment wrapText="1"/>
    </xf>
    <xf numFmtId="4" fontId="22" fillId="0" borderId="0" xfId="0" applyFont="1"/>
    <xf numFmtId="4" fontId="26" fillId="2" borderId="4" xfId="0" applyFont="1" applyFill="1" applyBorder="1"/>
    <xf numFmtId="0" fontId="25" fillId="0" borderId="0" xfId="1" applyNumberFormat="1" applyFont="1" applyFill="1" applyAlignment="1" applyProtection="1">
      <alignment horizontal="left" vertical="center" indent="1"/>
    </xf>
    <xf numFmtId="4" fontId="26" fillId="0" borderId="0" xfId="0" applyFont="1" applyAlignment="1">
      <alignment horizontal="left" vertical="center" indent="1"/>
    </xf>
    <xf numFmtId="4" fontId="25" fillId="0" borderId="0" xfId="0" applyFont="1" applyAlignment="1">
      <alignment horizontal="left" vertical="center" indent="1"/>
    </xf>
    <xf numFmtId="4" fontId="26" fillId="0" borderId="0" xfId="6" applyFont="1" applyFill="1" applyBorder="1" applyAlignment="1">
      <alignment horizontal="center" vertical="center"/>
    </xf>
    <xf numFmtId="4" fontId="18" fillId="0" borderId="0" xfId="0" applyFont="1" applyAlignment="1">
      <alignment horizontal="left" vertical="center" indent="1"/>
    </xf>
    <xf numFmtId="4" fontId="18" fillId="0" borderId="0" xfId="0" applyFont="1" applyAlignment="1">
      <alignment horizontal="center" vertical="center"/>
    </xf>
    <xf numFmtId="4" fontId="19" fillId="0" borderId="0" xfId="0" applyFont="1" applyAlignment="1">
      <alignment horizontal="left" vertical="center" wrapText="1" indent="1"/>
    </xf>
    <xf numFmtId="0" fontId="19" fillId="0" borderId="0" xfId="0" applyNumberFormat="1" applyFont="1" applyAlignment="1">
      <alignment horizontal="left" vertical="center" wrapText="1" indent="1"/>
    </xf>
    <xf numFmtId="0" fontId="18" fillId="0" borderId="0" xfId="0" applyNumberFormat="1" applyFont="1" applyAlignment="1">
      <alignment horizontal="left" vertical="center" wrapText="1" indent="1"/>
    </xf>
    <xf numFmtId="0" fontId="18" fillId="0" borderId="0" xfId="0" applyNumberFormat="1" applyFont="1" applyAlignment="1">
      <alignment horizontal="left" vertical="center" indent="1"/>
    </xf>
    <xf numFmtId="166" fontId="19" fillId="0" borderId="0" xfId="0" applyNumberFormat="1" applyFont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66" fontId="25" fillId="0" borderId="0" xfId="1" applyNumberFormat="1" applyFont="1" applyFill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4" fontId="39" fillId="6" borderId="2" xfId="0" applyFont="1" applyFill="1" applyBorder="1" applyAlignment="1">
      <alignment horizontal="center" vertical="center"/>
    </xf>
    <xf numFmtId="4" fontId="0" fillId="7" borderId="0" xfId="0" applyFill="1" applyAlignment="1">
      <alignment horizontal="center"/>
    </xf>
    <xf numFmtId="167" fontId="24" fillId="2" borderId="0" xfId="0" applyNumberFormat="1" applyFont="1" applyFill="1" applyAlignment="1">
      <alignment horizontal="left" vertical="top" indent="1"/>
    </xf>
    <xf numFmtId="166" fontId="23" fillId="2" borderId="3" xfId="0" applyNumberFormat="1" applyFont="1" applyFill="1" applyBorder="1" applyAlignment="1">
      <alignment horizontal="left" indent="1"/>
    </xf>
    <xf numFmtId="4" fontId="23" fillId="2" borderId="3" xfId="0" applyFont="1" applyFill="1" applyBorder="1" applyAlignment="1">
      <alignment horizontal="right" indent="1"/>
    </xf>
    <xf numFmtId="167" fontId="24" fillId="2" borderId="0" xfId="0" applyNumberFormat="1" applyFont="1" applyFill="1" applyAlignment="1">
      <alignment horizontal="right" vertical="top" indent="1"/>
    </xf>
    <xf numFmtId="0" fontId="24" fillId="2" borderId="0" xfId="0" applyNumberFormat="1" applyFont="1" applyFill="1" applyAlignment="1">
      <alignment horizontal="right" vertical="top" indent="1"/>
    </xf>
    <xf numFmtId="0" fontId="14" fillId="7" borderId="0" xfId="0" applyNumberFormat="1" applyFont="1" applyFill="1" applyAlignment="1">
      <alignment vertical="center"/>
    </xf>
    <xf numFmtId="4" fontId="39" fillId="6" borderId="2" xfId="0" applyFont="1" applyFill="1" applyBorder="1" applyAlignment="1">
      <alignment horizontal="center" vertical="center" wrapText="1"/>
    </xf>
    <xf numFmtId="4" fontId="40" fillId="6" borderId="2" xfId="0" applyFont="1" applyFill="1" applyBorder="1" applyAlignment="1">
      <alignment horizontal="center" vertical="center" wrapText="1"/>
    </xf>
    <xf numFmtId="0" fontId="20" fillId="0" borderId="0" xfId="3" applyFont="1" applyBorder="1" applyAlignment="1">
      <alignment horizontal="center" vertical="center" wrapText="1"/>
    </xf>
  </cellXfs>
  <cellStyles count="47">
    <cellStyle name="20% - Ênfase1" xfId="6" builtinId="30" customBuiltin="1"/>
    <cellStyle name="20% - Ênfase2" xfId="28" builtinId="34" customBuiltin="1"/>
    <cellStyle name="20% - Ênfase3" xfId="32" builtinId="38" customBuiltin="1"/>
    <cellStyle name="20% - Ênfase4" xfId="36" builtinId="42" customBuiltin="1"/>
    <cellStyle name="20% - Ênfase5" xfId="40" builtinId="46" customBuiltin="1"/>
    <cellStyle name="20% - Ênfase6" xfId="44" builtinId="50" customBuiltin="1"/>
    <cellStyle name="40% - Ênfase1" xfId="25" builtinId="31" customBuiltin="1"/>
    <cellStyle name="40% - Ênfase2" xfId="29" builtinId="35" customBuiltin="1"/>
    <cellStyle name="40% - Ênfase3" xfId="33" builtinId="39" customBuiltin="1"/>
    <cellStyle name="40% - Ênfase4" xfId="37" builtinId="43" customBuiltin="1"/>
    <cellStyle name="40% - Ênfase5" xfId="41" builtinId="47" customBuiltin="1"/>
    <cellStyle name="40% - Ênfase6" xfId="45" builtinId="51" customBuiltin="1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4" builtinId="26" customBuiltin="1"/>
    <cellStyle name="Cálculo" xfId="19" builtinId="22" customBuiltin="1"/>
    <cellStyle name="Célula de Verificação" xfId="21" builtinId="23" customBuiltin="1"/>
    <cellStyle name="Célula Vinculada" xfId="20" builtinId="24" customBuiltin="1"/>
    <cellStyle name="Ênfase1" xfId="24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7" builtinId="20" customBuiltin="1"/>
    <cellStyle name="Moeda" xfId="10" builtinId="4" customBuiltin="1"/>
    <cellStyle name="Moeda [0]" xfId="11" builtinId="7" customBuiltin="1"/>
    <cellStyle name="Neutro" xfId="16" builtinId="28" customBuiltin="1"/>
    <cellStyle name="Normal" xfId="0" builtinId="0" customBuiltin="1"/>
    <cellStyle name="Nota" xfId="23" builtinId="10" customBuiltin="1"/>
    <cellStyle name="Porcentagem" xfId="12" builtinId="5" customBuiltin="1"/>
    <cellStyle name="Ruim" xfId="15" builtinId="27" customBuiltin="1"/>
    <cellStyle name="Saída" xfId="18" builtinId="21" customBuiltin="1"/>
    <cellStyle name="Separador de milhares [0]" xfId="9" builtinId="6" customBuiltin="1"/>
    <cellStyle name="Texto de Aviso" xfId="22" builtinId="11" customBuiltin="1"/>
    <cellStyle name="Texto Explicativo" xfId="4" builtinId="53" customBuiltin="1"/>
    <cellStyle name="Título" xfId="7" builtinId="15" customBuiltin="1"/>
    <cellStyle name="Título 1" xfId="1" builtinId="16" customBuiltin="1"/>
    <cellStyle name="Título 2" xfId="2" builtinId="17" customBuiltin="1"/>
    <cellStyle name="Título 3" xfId="3" builtinId="18" customBuiltin="1"/>
    <cellStyle name="Título 4" xfId="13" builtinId="19" customBuiltin="1"/>
    <cellStyle name="Total" xfId="5" builtinId="25" customBuiltin="1"/>
    <cellStyle name="Vírgula" xfId="8" builtinId="3" customBuiltin="1"/>
  </cellStyles>
  <dxfs count="13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0" formatCode="General"/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0" formatCode="General"/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0" formatCode="General"/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0" formatCode="General"/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0" formatCode="General"/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0" formatCode="General"/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0" formatCode="General"/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0" formatCode="General"/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166" formatCode="#,##0.00_ ;\-#,##0.00\ 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minor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minor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minor"/>
      </font>
      <numFmt numFmtId="166" formatCode="#,##0.00_ ;\-#,##0.00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749992370372631"/>
        <name val="Arial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minor"/>
      </font>
      <fill>
        <patternFill patternType="solid">
          <fgColor indexed="64"/>
          <bgColor theme="3" tint="-9.9978637043366805E-2"/>
        </patternFill>
      </fill>
    </dxf>
    <dxf>
      <font>
        <i val="0"/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minor"/>
      </font>
      <fill>
        <patternFill patternType="solid">
          <fgColor indexed="64"/>
          <bgColor theme="3"/>
        </patternFill>
      </fill>
    </dxf>
    <dxf>
      <font>
        <b/>
        <i val="0"/>
        <strike val="0"/>
        <outline val="0"/>
        <shadow val="0"/>
        <u val="none"/>
        <vertAlign val="baseline"/>
        <sz val="10"/>
        <color theme="3" tint="-0.749992370372631"/>
        <name val="Arial"/>
        <family val="2"/>
        <scheme val="minor"/>
      </font>
      <fill>
        <patternFill patternType="solid">
          <fgColor indexed="64"/>
          <bgColor theme="3" tint="-9.9978637043366805E-2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i/>
        <color auto="1"/>
      </font>
      <fill>
        <patternFill patternType="solid">
          <fgColor theme="7"/>
          <bgColor theme="7" tint="0.59996337778862885"/>
        </patternFill>
      </fill>
    </dxf>
    <dxf>
      <font>
        <b/>
        <i val="0"/>
        <color auto="1"/>
      </font>
      <fill>
        <patternFill patternType="solid">
          <fgColor theme="7"/>
          <bgColor theme="0"/>
        </patternFill>
      </fill>
      <border>
        <top style="double">
          <color theme="7" tint="-0.499984740745262"/>
        </top>
      </border>
    </dxf>
    <dxf>
      <font>
        <b/>
        <i val="0"/>
        <color auto="1"/>
      </font>
      <fill>
        <patternFill patternType="solid">
          <fgColor theme="7"/>
          <bgColor theme="7" tint="0.39994506668294322"/>
        </patternFill>
      </fill>
      <border>
        <bottom style="thin">
          <color theme="0"/>
        </bottom>
      </border>
    </dxf>
    <dxf>
      <font>
        <b val="0"/>
        <i/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ont>
        <b/>
        <i val="0"/>
        <color theme="3" tint="-0.749961851863155"/>
      </font>
      <fill>
        <patternFill>
          <bgColor theme="3" tint="-9.9948118533890809E-2"/>
        </patternFill>
      </fill>
    </dxf>
    <dxf>
      <font>
        <b/>
        <i val="0"/>
        <color theme="3" tint="-0.749961851863155"/>
      </font>
      <fill>
        <patternFill>
          <bgColor theme="3" tint="-9.9948118533890809E-2"/>
        </patternFill>
      </fill>
    </dxf>
    <dxf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</dxfs>
  <tableStyles count="2" defaultTableStyle="TableStyleMedium2" defaultPivotStyle="PivotStyleLight16">
    <tableStyle name="Estilo de Tabela 1" pivot="0" count="3" xr9:uid="{DAB1FF63-70CF-554A-87EE-B9F008156446}">
      <tableStyleElement type="wholeTable" dxfId="130"/>
      <tableStyleElement type="headerRow" dxfId="129"/>
      <tableStyleElement type="totalRow" dxfId="128"/>
    </tableStyle>
    <tableStyle name="Orçamento de Casamento" pivot="0" count="7" xr9:uid="{00000000-0011-0000-FFFF-FFFF00000000}">
      <tableStyleElement type="wholeTable" dxfId="127"/>
      <tableStyleElement type="headerRow" dxfId="126"/>
      <tableStyleElement type="totalRow" dxfId="125"/>
      <tableStyleElement type="firstColumn" dxfId="124"/>
      <tableStyleElement type="lastColumn" dxfId="123"/>
      <tableStyleElement type="firstRowStripe" dxfId="122"/>
      <tableStyleElement type="firstColumnStripe" dxfId="12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EAEAE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C37D8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'Orçamento de casamento'!$D$5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4AD-234C-A2F4-F955EB40733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4AD-234C-A2F4-F955EB40733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4AD-234C-A2F4-F955EB40733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34AD-234C-A2F4-F955EB40733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B5D4-8246-BFAB-1D2F70B74A78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4AD-234C-A2F4-F955EB40733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4AD-234C-A2F4-F955EB40733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4AD-234C-A2F4-F955EB40733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4AD-234C-A2F4-F955EB40733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5D4-8246-BFAB-1D2F70B74A78}"/>
              </c:ext>
            </c:extLst>
          </c:dPt>
          <c:cat>
            <c:strRef>
              <c:f>'Orçamento de casamento'!$B$6:$B$16</c:f>
              <c:strCache>
                <c:ptCount val="10"/>
                <c:pt idx="0">
                  <c:v>Vestuário</c:v>
                </c:pt>
                <c:pt idx="1">
                  <c:v>Recepção</c:v>
                </c:pt>
                <c:pt idx="2">
                  <c:v>Música</c:v>
                </c:pt>
                <c:pt idx="3">
                  <c:v>Impressão</c:v>
                </c:pt>
                <c:pt idx="4">
                  <c:v>Fotografia</c:v>
                </c:pt>
                <c:pt idx="5">
                  <c:v>Decorações</c:v>
                </c:pt>
                <c:pt idx="6">
                  <c:v>Flores</c:v>
                </c:pt>
                <c:pt idx="7">
                  <c:v>Presentes</c:v>
                </c:pt>
                <c:pt idx="8">
                  <c:v>Viagem</c:v>
                </c:pt>
                <c:pt idx="9">
                  <c:v>Outros</c:v>
                </c:pt>
              </c:strCache>
            </c:strRef>
          </c:cat>
          <c:val>
            <c:numRef>
              <c:f>'Orçamento de casamento'!$D$6:$D$16</c:f>
              <c:numCache>
                <c:formatCode>#,##0.00</c:formatCode>
                <c:ptCount val="10"/>
                <c:pt idx="0">
                  <c:v>1500</c:v>
                </c:pt>
                <c:pt idx="1">
                  <c:v>0</c:v>
                </c:pt>
                <c:pt idx="2">
                  <c:v>400</c:v>
                </c:pt>
                <c:pt idx="3">
                  <c:v>870</c:v>
                </c:pt>
                <c:pt idx="4">
                  <c:v>1575</c:v>
                </c:pt>
                <c:pt idx="5">
                  <c:v>20720</c:v>
                </c:pt>
                <c:pt idx="6">
                  <c:v>850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C-EE44-AD04-68228A97C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4077423"/>
        <c:axId val="1623558623"/>
      </c:barChart>
      <c:catAx>
        <c:axId val="162407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3558623"/>
        <c:crosses val="autoZero"/>
        <c:auto val="1"/>
        <c:lblAlgn val="ctr"/>
        <c:lblOffset val="100"/>
        <c:noMultiLvlLbl val="0"/>
      </c:catAx>
      <c:valAx>
        <c:axId val="162355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/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407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17</xdr:row>
      <xdr:rowOff>168382</xdr:rowOff>
    </xdr:from>
    <xdr:to>
      <xdr:col>5</xdr:col>
      <xdr:colOff>156675</xdr:colOff>
      <xdr:row>17</xdr:row>
      <xdr:rowOff>3909888</xdr:rowOff>
    </xdr:to>
    <xdr:graphicFrame macro="">
      <xdr:nvGraphicFramePr>
        <xdr:cNvPr id="4" name="ResumoDoOrçamentoDeCasamento" descr="Gráfico de pizza mostrando a porcentagem de despesas de cada categoria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694330</xdr:colOff>
      <xdr:row>1</xdr:row>
      <xdr:rowOff>14320</xdr:rowOff>
    </xdr:from>
    <xdr:to>
      <xdr:col>5</xdr:col>
      <xdr:colOff>67966</xdr:colOff>
      <xdr:row>1</xdr:row>
      <xdr:rowOff>1076839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CEE5E552-3B53-286F-F039-0AFCB2CD26DC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7712350" y="220060"/>
          <a:ext cx="1370076" cy="1062519"/>
          <a:chOff x="8851623" y="3081293"/>
          <a:chExt cx="1246298" cy="1064153"/>
        </a:xfrm>
      </xdr:grpSpPr>
      <xdr:sp macro="" textlink="">
        <xdr:nvSpPr>
          <xdr:cNvPr id="9" name="Forma Livre 8">
            <a:extLst>
              <a:ext uri="{FF2B5EF4-FFF2-40B4-BE49-F238E27FC236}">
                <a16:creationId xmlns:a16="http://schemas.microsoft.com/office/drawing/2014/main" id="{C3F55D7E-3985-137C-6E1B-6EC0C9BC1EA6}"/>
              </a:ext>
            </a:extLst>
          </xdr:cNvPr>
          <xdr:cNvSpPr/>
        </xdr:nvSpPr>
        <xdr:spPr>
          <a:xfrm>
            <a:off x="9179869" y="3230032"/>
            <a:ext cx="65676" cy="65676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6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6"/>
                  <a:pt x="32838" y="65676"/>
                </a:cubicBezTo>
                <a:cubicBezTo>
                  <a:pt x="14702" y="65676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chemeClr val="accent1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10" name="Forma Livre 9">
            <a:extLst>
              <a:ext uri="{FF2B5EF4-FFF2-40B4-BE49-F238E27FC236}">
                <a16:creationId xmlns:a16="http://schemas.microsoft.com/office/drawing/2014/main" id="{8210EDFD-D02C-A6D2-389E-61F0EB39553E}"/>
              </a:ext>
            </a:extLst>
          </xdr:cNvPr>
          <xdr:cNvSpPr/>
        </xdr:nvSpPr>
        <xdr:spPr>
          <a:xfrm>
            <a:off x="9859241" y="4079770"/>
            <a:ext cx="65676" cy="65676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6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6"/>
                  <a:pt x="32838" y="65676"/>
                </a:cubicBezTo>
                <a:cubicBezTo>
                  <a:pt x="14702" y="65676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rgbClr val="F2F2F2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11" name="Forma Livre 10">
            <a:extLst>
              <a:ext uri="{FF2B5EF4-FFF2-40B4-BE49-F238E27FC236}">
                <a16:creationId xmlns:a16="http://schemas.microsoft.com/office/drawing/2014/main" id="{9360F356-8F8B-3103-AF55-70C67D82F97B}"/>
              </a:ext>
            </a:extLst>
          </xdr:cNvPr>
          <xdr:cNvSpPr/>
        </xdr:nvSpPr>
        <xdr:spPr>
          <a:xfrm>
            <a:off x="9803814" y="3706204"/>
            <a:ext cx="65676" cy="65676"/>
          </a:xfrm>
          <a:custGeom>
            <a:avLst/>
            <a:gdLst>
              <a:gd name="connsiteX0" fmla="*/ 65676 w 65676"/>
              <a:gd name="connsiteY0" fmla="*/ 32838 h 65676"/>
              <a:gd name="connsiteX1" fmla="*/ 32838 w 65676"/>
              <a:gd name="connsiteY1" fmla="*/ 65676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6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6" y="32838"/>
                </a:moveTo>
                <a:cubicBezTo>
                  <a:pt x="65676" y="50974"/>
                  <a:pt x="50974" y="65676"/>
                  <a:pt x="32838" y="65676"/>
                </a:cubicBezTo>
                <a:cubicBezTo>
                  <a:pt x="14702" y="65676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6" y="14702"/>
                  <a:pt x="65676" y="32838"/>
                </a:cubicBezTo>
                <a:close/>
              </a:path>
            </a:pathLst>
          </a:custGeom>
          <a:solidFill>
            <a:srgbClr val="D2D2D2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12" name="Forma Livre 11">
            <a:extLst>
              <a:ext uri="{FF2B5EF4-FFF2-40B4-BE49-F238E27FC236}">
                <a16:creationId xmlns:a16="http://schemas.microsoft.com/office/drawing/2014/main" id="{253C061B-3E8A-E25B-58D5-77CF5EEDA6E6}"/>
              </a:ext>
            </a:extLst>
          </xdr:cNvPr>
          <xdr:cNvSpPr/>
        </xdr:nvSpPr>
        <xdr:spPr>
          <a:xfrm>
            <a:off x="10032245" y="3991214"/>
            <a:ext cx="65676" cy="65676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6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6"/>
                  <a:pt x="32838" y="65676"/>
                </a:cubicBezTo>
                <a:cubicBezTo>
                  <a:pt x="14702" y="65676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chemeClr val="accent1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13" name="Forma Livre 12">
            <a:extLst>
              <a:ext uri="{FF2B5EF4-FFF2-40B4-BE49-F238E27FC236}">
                <a16:creationId xmlns:a16="http://schemas.microsoft.com/office/drawing/2014/main" id="{C6F7802C-A555-A6B9-1E58-94D787D1FB35}"/>
              </a:ext>
            </a:extLst>
          </xdr:cNvPr>
          <xdr:cNvSpPr/>
        </xdr:nvSpPr>
        <xdr:spPr>
          <a:xfrm>
            <a:off x="9409744" y="3936079"/>
            <a:ext cx="65676" cy="65676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6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6"/>
                  <a:pt x="32838" y="65676"/>
                </a:cubicBezTo>
                <a:cubicBezTo>
                  <a:pt x="14702" y="65676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rgbClr val="737373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14" name="Forma Livre 13">
            <a:extLst>
              <a:ext uri="{FF2B5EF4-FFF2-40B4-BE49-F238E27FC236}">
                <a16:creationId xmlns:a16="http://schemas.microsoft.com/office/drawing/2014/main" id="{B16B106A-BD94-FADB-3E68-F848640BA167}"/>
              </a:ext>
            </a:extLst>
          </xdr:cNvPr>
          <xdr:cNvSpPr/>
        </xdr:nvSpPr>
        <xdr:spPr>
          <a:xfrm>
            <a:off x="9376902" y="3312130"/>
            <a:ext cx="65676" cy="65676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7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7"/>
                  <a:pt x="32838" y="65677"/>
                </a:cubicBezTo>
                <a:cubicBezTo>
                  <a:pt x="14702" y="65677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chemeClr val="tx2">
              <a:lumMod val="50000"/>
            </a:schemeClr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15" name="Forma Livre 14">
            <a:extLst>
              <a:ext uri="{FF2B5EF4-FFF2-40B4-BE49-F238E27FC236}">
                <a16:creationId xmlns:a16="http://schemas.microsoft.com/office/drawing/2014/main" id="{BCD1CB00-FB96-6675-3A2F-4F74CBBB1CDE}"/>
              </a:ext>
            </a:extLst>
          </xdr:cNvPr>
          <xdr:cNvSpPr/>
        </xdr:nvSpPr>
        <xdr:spPr>
          <a:xfrm>
            <a:off x="9344362" y="3432494"/>
            <a:ext cx="65676" cy="65676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7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7"/>
                  <a:pt x="32838" y="65677"/>
                </a:cubicBezTo>
                <a:cubicBezTo>
                  <a:pt x="14702" y="65677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rgbClr val="737373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16" name="Forma Livre 15">
            <a:extLst>
              <a:ext uri="{FF2B5EF4-FFF2-40B4-BE49-F238E27FC236}">
                <a16:creationId xmlns:a16="http://schemas.microsoft.com/office/drawing/2014/main" id="{5BA99947-A399-1FC1-37C3-9931CA54AB84}"/>
              </a:ext>
            </a:extLst>
          </xdr:cNvPr>
          <xdr:cNvSpPr/>
        </xdr:nvSpPr>
        <xdr:spPr>
          <a:xfrm>
            <a:off x="8853645" y="3310850"/>
            <a:ext cx="65676" cy="65676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7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7"/>
                  <a:pt x="32838" y="65677"/>
                </a:cubicBezTo>
                <a:cubicBezTo>
                  <a:pt x="14702" y="65677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chemeClr val="accent1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17" name="Forma Livre 16">
            <a:extLst>
              <a:ext uri="{FF2B5EF4-FFF2-40B4-BE49-F238E27FC236}">
                <a16:creationId xmlns:a16="http://schemas.microsoft.com/office/drawing/2014/main" id="{2DDA2AEE-1844-057F-A579-25AA723E8652}"/>
              </a:ext>
            </a:extLst>
          </xdr:cNvPr>
          <xdr:cNvSpPr/>
        </xdr:nvSpPr>
        <xdr:spPr>
          <a:xfrm>
            <a:off x="9175194" y="3387846"/>
            <a:ext cx="65676" cy="65676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7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7"/>
                  <a:pt x="32838" y="65677"/>
                </a:cubicBezTo>
                <a:cubicBezTo>
                  <a:pt x="14702" y="65677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rgbClr val="505050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18" name="Forma Livre 17">
            <a:extLst>
              <a:ext uri="{FF2B5EF4-FFF2-40B4-BE49-F238E27FC236}">
                <a16:creationId xmlns:a16="http://schemas.microsoft.com/office/drawing/2014/main" id="{1B5E4276-B07B-4C8F-FD03-13543340875B}"/>
              </a:ext>
            </a:extLst>
          </xdr:cNvPr>
          <xdr:cNvSpPr/>
        </xdr:nvSpPr>
        <xdr:spPr>
          <a:xfrm>
            <a:off x="9586572" y="3396993"/>
            <a:ext cx="65676" cy="65676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7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7"/>
                  <a:pt x="32838" y="65677"/>
                </a:cubicBezTo>
                <a:cubicBezTo>
                  <a:pt x="14702" y="65677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rgbClr val="F2F2F2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19" name="Forma Livre 18">
            <a:extLst>
              <a:ext uri="{FF2B5EF4-FFF2-40B4-BE49-F238E27FC236}">
                <a16:creationId xmlns:a16="http://schemas.microsoft.com/office/drawing/2014/main" id="{8242A040-F6C7-02D0-5AD1-D56039EA8C53}"/>
              </a:ext>
            </a:extLst>
          </xdr:cNvPr>
          <xdr:cNvSpPr/>
        </xdr:nvSpPr>
        <xdr:spPr>
          <a:xfrm>
            <a:off x="9730867" y="3546378"/>
            <a:ext cx="65676" cy="65676"/>
          </a:xfrm>
          <a:custGeom>
            <a:avLst/>
            <a:gdLst>
              <a:gd name="connsiteX0" fmla="*/ 65676 w 65676"/>
              <a:gd name="connsiteY0" fmla="*/ 32838 h 65676"/>
              <a:gd name="connsiteX1" fmla="*/ 32838 w 65676"/>
              <a:gd name="connsiteY1" fmla="*/ 65677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6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6" y="32838"/>
                </a:moveTo>
                <a:cubicBezTo>
                  <a:pt x="65676" y="50974"/>
                  <a:pt x="50974" y="65677"/>
                  <a:pt x="32838" y="65677"/>
                </a:cubicBezTo>
                <a:cubicBezTo>
                  <a:pt x="14702" y="65677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6" y="14702"/>
                  <a:pt x="65676" y="32838"/>
                </a:cubicBezTo>
                <a:close/>
              </a:path>
            </a:pathLst>
          </a:custGeom>
          <a:solidFill>
            <a:srgbClr val="505050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20" name="Forma Livre 19">
            <a:extLst>
              <a:ext uri="{FF2B5EF4-FFF2-40B4-BE49-F238E27FC236}">
                <a16:creationId xmlns:a16="http://schemas.microsoft.com/office/drawing/2014/main" id="{A880A2D6-DC26-49FC-D097-7072F7FA1BBD}"/>
              </a:ext>
            </a:extLst>
          </xdr:cNvPr>
          <xdr:cNvSpPr/>
        </xdr:nvSpPr>
        <xdr:spPr>
          <a:xfrm>
            <a:off x="9766135" y="3860037"/>
            <a:ext cx="65676" cy="65676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6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6"/>
                  <a:pt x="32838" y="65676"/>
                </a:cubicBezTo>
                <a:cubicBezTo>
                  <a:pt x="14702" y="65676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chemeClr val="tx2">
              <a:lumMod val="50000"/>
            </a:schemeClr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21" name="Forma Livre 20">
            <a:extLst>
              <a:ext uri="{FF2B5EF4-FFF2-40B4-BE49-F238E27FC236}">
                <a16:creationId xmlns:a16="http://schemas.microsoft.com/office/drawing/2014/main" id="{9B1436C4-52F8-846E-622C-2DF30292E8BC}"/>
              </a:ext>
            </a:extLst>
          </xdr:cNvPr>
          <xdr:cNvSpPr/>
        </xdr:nvSpPr>
        <xdr:spPr>
          <a:xfrm>
            <a:off x="9039700" y="3593154"/>
            <a:ext cx="65676" cy="65676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7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7"/>
                  <a:pt x="32838" y="65677"/>
                </a:cubicBezTo>
                <a:cubicBezTo>
                  <a:pt x="14702" y="65677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chemeClr val="tx2">
              <a:lumMod val="50000"/>
            </a:schemeClr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22" name="Forma Livre 21">
            <a:extLst>
              <a:ext uri="{FF2B5EF4-FFF2-40B4-BE49-F238E27FC236}">
                <a16:creationId xmlns:a16="http://schemas.microsoft.com/office/drawing/2014/main" id="{89B5C27B-4E64-6A34-95EA-794A91F58FD3}"/>
              </a:ext>
            </a:extLst>
          </xdr:cNvPr>
          <xdr:cNvSpPr/>
        </xdr:nvSpPr>
        <xdr:spPr>
          <a:xfrm>
            <a:off x="8851623" y="3081293"/>
            <a:ext cx="65676" cy="65676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7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7"/>
                  <a:pt x="32838" y="65677"/>
                </a:cubicBezTo>
                <a:cubicBezTo>
                  <a:pt x="14702" y="65677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rgbClr val="737373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23" name="Forma Livre 22">
            <a:extLst>
              <a:ext uri="{FF2B5EF4-FFF2-40B4-BE49-F238E27FC236}">
                <a16:creationId xmlns:a16="http://schemas.microsoft.com/office/drawing/2014/main" id="{FC122A8D-0DD7-5FFC-EDA1-6BC7972F93A1}"/>
              </a:ext>
            </a:extLst>
          </xdr:cNvPr>
          <xdr:cNvSpPr/>
        </xdr:nvSpPr>
        <xdr:spPr>
          <a:xfrm>
            <a:off x="9308766" y="3608992"/>
            <a:ext cx="65676" cy="65676"/>
          </a:xfrm>
          <a:custGeom>
            <a:avLst/>
            <a:gdLst>
              <a:gd name="connsiteX0" fmla="*/ 65676 w 65676"/>
              <a:gd name="connsiteY0" fmla="*/ 32838 h 65676"/>
              <a:gd name="connsiteX1" fmla="*/ 32838 w 65676"/>
              <a:gd name="connsiteY1" fmla="*/ 65676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6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6" y="32838"/>
                </a:moveTo>
                <a:cubicBezTo>
                  <a:pt x="65676" y="50974"/>
                  <a:pt x="50974" y="65676"/>
                  <a:pt x="32838" y="65676"/>
                </a:cubicBezTo>
                <a:cubicBezTo>
                  <a:pt x="14702" y="65676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6" y="14702"/>
                  <a:pt x="65676" y="32838"/>
                </a:cubicBezTo>
                <a:close/>
              </a:path>
            </a:pathLst>
          </a:custGeom>
          <a:solidFill>
            <a:schemeClr val="accent1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24" name="Forma Livre 23">
            <a:extLst>
              <a:ext uri="{FF2B5EF4-FFF2-40B4-BE49-F238E27FC236}">
                <a16:creationId xmlns:a16="http://schemas.microsoft.com/office/drawing/2014/main" id="{790AD77C-7781-A0F7-4C6B-E8FDDE37B02A}"/>
              </a:ext>
            </a:extLst>
          </xdr:cNvPr>
          <xdr:cNvSpPr/>
        </xdr:nvSpPr>
        <xdr:spPr>
          <a:xfrm>
            <a:off x="9623198" y="3525588"/>
            <a:ext cx="65676" cy="65676"/>
          </a:xfrm>
          <a:custGeom>
            <a:avLst/>
            <a:gdLst>
              <a:gd name="connsiteX0" fmla="*/ 65676 w 65676"/>
              <a:gd name="connsiteY0" fmla="*/ 32838 h 65676"/>
              <a:gd name="connsiteX1" fmla="*/ 32838 w 65676"/>
              <a:gd name="connsiteY1" fmla="*/ 65677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6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6" y="32838"/>
                </a:moveTo>
                <a:cubicBezTo>
                  <a:pt x="65676" y="50974"/>
                  <a:pt x="50974" y="65677"/>
                  <a:pt x="32838" y="65677"/>
                </a:cubicBezTo>
                <a:cubicBezTo>
                  <a:pt x="14702" y="65677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6" y="14702"/>
                  <a:pt x="65676" y="32838"/>
                </a:cubicBezTo>
                <a:close/>
              </a:path>
            </a:pathLst>
          </a:custGeom>
          <a:solidFill>
            <a:schemeClr val="tx2">
              <a:lumMod val="50000"/>
            </a:schemeClr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25" name="Forma Livre 24">
            <a:extLst>
              <a:ext uri="{FF2B5EF4-FFF2-40B4-BE49-F238E27FC236}">
                <a16:creationId xmlns:a16="http://schemas.microsoft.com/office/drawing/2014/main" id="{E69F2054-F630-9C42-0A05-C272A6959415}"/>
              </a:ext>
            </a:extLst>
          </xdr:cNvPr>
          <xdr:cNvSpPr/>
        </xdr:nvSpPr>
        <xdr:spPr>
          <a:xfrm>
            <a:off x="9557518" y="3689783"/>
            <a:ext cx="65676" cy="65676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6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6"/>
                  <a:pt x="32838" y="65676"/>
                </a:cubicBezTo>
                <a:cubicBezTo>
                  <a:pt x="14702" y="65676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chemeClr val="accent1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26" name="Forma Livre 25">
            <a:extLst>
              <a:ext uri="{FF2B5EF4-FFF2-40B4-BE49-F238E27FC236}">
                <a16:creationId xmlns:a16="http://schemas.microsoft.com/office/drawing/2014/main" id="{906529E7-CE8B-5CD3-76E1-630E8FB2460A}"/>
              </a:ext>
            </a:extLst>
          </xdr:cNvPr>
          <xdr:cNvSpPr/>
        </xdr:nvSpPr>
        <xdr:spPr>
          <a:xfrm>
            <a:off x="9949899" y="3906351"/>
            <a:ext cx="32841" cy="32841"/>
          </a:xfrm>
          <a:custGeom>
            <a:avLst/>
            <a:gdLst>
              <a:gd name="connsiteX0" fmla="*/ 32842 w 32841"/>
              <a:gd name="connsiteY0" fmla="*/ 16421 h 32841"/>
              <a:gd name="connsiteX1" fmla="*/ 16421 w 32841"/>
              <a:gd name="connsiteY1" fmla="*/ 32842 h 32841"/>
              <a:gd name="connsiteX2" fmla="*/ 0 w 32841"/>
              <a:gd name="connsiteY2" fmla="*/ 16421 h 32841"/>
              <a:gd name="connsiteX3" fmla="*/ 16421 w 32841"/>
              <a:gd name="connsiteY3" fmla="*/ 0 h 32841"/>
              <a:gd name="connsiteX4" fmla="*/ 32842 w 32841"/>
              <a:gd name="connsiteY4" fmla="*/ 16421 h 328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2841" h="32841">
                <a:moveTo>
                  <a:pt x="32842" y="16421"/>
                </a:moveTo>
                <a:cubicBezTo>
                  <a:pt x="32842" y="25490"/>
                  <a:pt x="25490" y="32842"/>
                  <a:pt x="16421" y="32842"/>
                </a:cubicBezTo>
                <a:cubicBezTo>
                  <a:pt x="7352" y="32842"/>
                  <a:pt x="0" y="25490"/>
                  <a:pt x="0" y="16421"/>
                </a:cubicBezTo>
                <a:cubicBezTo>
                  <a:pt x="0" y="7352"/>
                  <a:pt x="7352" y="0"/>
                  <a:pt x="16421" y="0"/>
                </a:cubicBezTo>
                <a:cubicBezTo>
                  <a:pt x="25490" y="0"/>
                  <a:pt x="32842" y="7352"/>
                  <a:pt x="32842" y="16421"/>
                </a:cubicBezTo>
                <a:close/>
              </a:path>
            </a:pathLst>
          </a:custGeom>
          <a:solidFill>
            <a:srgbClr val="505050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27" name="Forma Livre 26">
            <a:extLst>
              <a:ext uri="{FF2B5EF4-FFF2-40B4-BE49-F238E27FC236}">
                <a16:creationId xmlns:a16="http://schemas.microsoft.com/office/drawing/2014/main" id="{6A7A13ED-DC68-FFCC-35D0-B0AEC1182CF1}"/>
              </a:ext>
            </a:extLst>
          </xdr:cNvPr>
          <xdr:cNvSpPr/>
        </xdr:nvSpPr>
        <xdr:spPr>
          <a:xfrm>
            <a:off x="9508259" y="3542005"/>
            <a:ext cx="32841" cy="32841"/>
          </a:xfrm>
          <a:custGeom>
            <a:avLst/>
            <a:gdLst>
              <a:gd name="connsiteX0" fmla="*/ 32842 w 32841"/>
              <a:gd name="connsiteY0" fmla="*/ 16421 h 32841"/>
              <a:gd name="connsiteX1" fmla="*/ 16421 w 32841"/>
              <a:gd name="connsiteY1" fmla="*/ 32842 h 32841"/>
              <a:gd name="connsiteX2" fmla="*/ 0 w 32841"/>
              <a:gd name="connsiteY2" fmla="*/ 16421 h 32841"/>
              <a:gd name="connsiteX3" fmla="*/ 16421 w 32841"/>
              <a:gd name="connsiteY3" fmla="*/ 0 h 32841"/>
              <a:gd name="connsiteX4" fmla="*/ 32842 w 32841"/>
              <a:gd name="connsiteY4" fmla="*/ 16421 h 328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2841" h="32841">
                <a:moveTo>
                  <a:pt x="32842" y="16421"/>
                </a:moveTo>
                <a:cubicBezTo>
                  <a:pt x="32842" y="25490"/>
                  <a:pt x="25490" y="32842"/>
                  <a:pt x="16421" y="32842"/>
                </a:cubicBezTo>
                <a:cubicBezTo>
                  <a:pt x="7352" y="32842"/>
                  <a:pt x="0" y="25490"/>
                  <a:pt x="0" y="16421"/>
                </a:cubicBezTo>
                <a:cubicBezTo>
                  <a:pt x="0" y="7352"/>
                  <a:pt x="7352" y="0"/>
                  <a:pt x="16421" y="0"/>
                </a:cubicBezTo>
                <a:cubicBezTo>
                  <a:pt x="25490" y="0"/>
                  <a:pt x="32842" y="7352"/>
                  <a:pt x="32842" y="16421"/>
                </a:cubicBezTo>
                <a:close/>
              </a:path>
            </a:pathLst>
          </a:custGeom>
          <a:solidFill>
            <a:srgbClr val="505050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28" name="Forma Livre 27">
            <a:extLst>
              <a:ext uri="{FF2B5EF4-FFF2-40B4-BE49-F238E27FC236}">
                <a16:creationId xmlns:a16="http://schemas.microsoft.com/office/drawing/2014/main" id="{42CDBD91-FC84-98F1-AB2E-22CD5EFB56A4}"/>
              </a:ext>
            </a:extLst>
          </xdr:cNvPr>
          <xdr:cNvSpPr/>
        </xdr:nvSpPr>
        <xdr:spPr>
          <a:xfrm>
            <a:off x="9705292" y="3443486"/>
            <a:ext cx="32841" cy="32841"/>
          </a:xfrm>
          <a:custGeom>
            <a:avLst/>
            <a:gdLst>
              <a:gd name="connsiteX0" fmla="*/ 32842 w 32841"/>
              <a:gd name="connsiteY0" fmla="*/ 16421 h 32841"/>
              <a:gd name="connsiteX1" fmla="*/ 16421 w 32841"/>
              <a:gd name="connsiteY1" fmla="*/ 32842 h 32841"/>
              <a:gd name="connsiteX2" fmla="*/ 0 w 32841"/>
              <a:gd name="connsiteY2" fmla="*/ 16421 h 32841"/>
              <a:gd name="connsiteX3" fmla="*/ 16421 w 32841"/>
              <a:gd name="connsiteY3" fmla="*/ 0 h 32841"/>
              <a:gd name="connsiteX4" fmla="*/ 32842 w 32841"/>
              <a:gd name="connsiteY4" fmla="*/ 16421 h 328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2841" h="32841">
                <a:moveTo>
                  <a:pt x="32842" y="16421"/>
                </a:moveTo>
                <a:cubicBezTo>
                  <a:pt x="32842" y="25490"/>
                  <a:pt x="25490" y="32842"/>
                  <a:pt x="16421" y="32842"/>
                </a:cubicBezTo>
                <a:cubicBezTo>
                  <a:pt x="7352" y="32842"/>
                  <a:pt x="0" y="25490"/>
                  <a:pt x="0" y="16421"/>
                </a:cubicBezTo>
                <a:cubicBezTo>
                  <a:pt x="0" y="7352"/>
                  <a:pt x="7352" y="0"/>
                  <a:pt x="16421" y="0"/>
                </a:cubicBezTo>
                <a:cubicBezTo>
                  <a:pt x="25490" y="0"/>
                  <a:pt x="32842" y="7352"/>
                  <a:pt x="32842" y="16421"/>
                </a:cubicBezTo>
                <a:close/>
              </a:path>
            </a:pathLst>
          </a:custGeom>
          <a:solidFill>
            <a:srgbClr val="F2F2F2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29" name="Forma Livre 28">
            <a:extLst>
              <a:ext uri="{FF2B5EF4-FFF2-40B4-BE49-F238E27FC236}">
                <a16:creationId xmlns:a16="http://schemas.microsoft.com/office/drawing/2014/main" id="{E0B6AC53-39AD-92AE-7E4D-09C411DC3C42}"/>
              </a:ext>
            </a:extLst>
          </xdr:cNvPr>
          <xdr:cNvSpPr/>
        </xdr:nvSpPr>
        <xdr:spPr>
          <a:xfrm>
            <a:off x="9803113" y="3952949"/>
            <a:ext cx="32841" cy="32841"/>
          </a:xfrm>
          <a:custGeom>
            <a:avLst/>
            <a:gdLst>
              <a:gd name="connsiteX0" fmla="*/ 32842 w 32841"/>
              <a:gd name="connsiteY0" fmla="*/ 16421 h 32841"/>
              <a:gd name="connsiteX1" fmla="*/ 16421 w 32841"/>
              <a:gd name="connsiteY1" fmla="*/ 32842 h 32841"/>
              <a:gd name="connsiteX2" fmla="*/ 0 w 32841"/>
              <a:gd name="connsiteY2" fmla="*/ 16421 h 32841"/>
              <a:gd name="connsiteX3" fmla="*/ 16421 w 32841"/>
              <a:gd name="connsiteY3" fmla="*/ 0 h 32841"/>
              <a:gd name="connsiteX4" fmla="*/ 32842 w 32841"/>
              <a:gd name="connsiteY4" fmla="*/ 16421 h 328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2841" h="32841">
                <a:moveTo>
                  <a:pt x="32842" y="16421"/>
                </a:moveTo>
                <a:cubicBezTo>
                  <a:pt x="32842" y="25490"/>
                  <a:pt x="25490" y="32842"/>
                  <a:pt x="16421" y="32842"/>
                </a:cubicBezTo>
                <a:cubicBezTo>
                  <a:pt x="7352" y="32842"/>
                  <a:pt x="0" y="25490"/>
                  <a:pt x="0" y="16421"/>
                </a:cubicBezTo>
                <a:cubicBezTo>
                  <a:pt x="0" y="7352"/>
                  <a:pt x="7352" y="0"/>
                  <a:pt x="16421" y="0"/>
                </a:cubicBezTo>
                <a:cubicBezTo>
                  <a:pt x="25490" y="0"/>
                  <a:pt x="32842" y="7352"/>
                  <a:pt x="32842" y="16421"/>
                </a:cubicBezTo>
                <a:close/>
              </a:path>
            </a:pathLst>
          </a:custGeom>
          <a:solidFill>
            <a:schemeClr val="tx2">
              <a:lumMod val="50000"/>
            </a:schemeClr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30" name="Forma Livre 29">
            <a:extLst>
              <a:ext uri="{FF2B5EF4-FFF2-40B4-BE49-F238E27FC236}">
                <a16:creationId xmlns:a16="http://schemas.microsoft.com/office/drawing/2014/main" id="{62E89912-3BC3-66F5-2ED8-455436B20F9F}"/>
              </a:ext>
            </a:extLst>
          </xdr:cNvPr>
          <xdr:cNvSpPr/>
        </xdr:nvSpPr>
        <xdr:spPr>
          <a:xfrm>
            <a:off x="9683010" y="3757370"/>
            <a:ext cx="32841" cy="32841"/>
          </a:xfrm>
          <a:custGeom>
            <a:avLst/>
            <a:gdLst>
              <a:gd name="connsiteX0" fmla="*/ 32842 w 32841"/>
              <a:gd name="connsiteY0" fmla="*/ 16421 h 32841"/>
              <a:gd name="connsiteX1" fmla="*/ 16421 w 32841"/>
              <a:gd name="connsiteY1" fmla="*/ 32842 h 32841"/>
              <a:gd name="connsiteX2" fmla="*/ 0 w 32841"/>
              <a:gd name="connsiteY2" fmla="*/ 16421 h 32841"/>
              <a:gd name="connsiteX3" fmla="*/ 16421 w 32841"/>
              <a:gd name="connsiteY3" fmla="*/ 0 h 32841"/>
              <a:gd name="connsiteX4" fmla="*/ 32842 w 32841"/>
              <a:gd name="connsiteY4" fmla="*/ 16421 h 328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2841" h="32841">
                <a:moveTo>
                  <a:pt x="32842" y="16421"/>
                </a:moveTo>
                <a:cubicBezTo>
                  <a:pt x="32842" y="25490"/>
                  <a:pt x="25490" y="32842"/>
                  <a:pt x="16421" y="32842"/>
                </a:cubicBezTo>
                <a:cubicBezTo>
                  <a:pt x="7352" y="32842"/>
                  <a:pt x="0" y="25490"/>
                  <a:pt x="0" y="16421"/>
                </a:cubicBezTo>
                <a:cubicBezTo>
                  <a:pt x="0" y="7352"/>
                  <a:pt x="7352" y="0"/>
                  <a:pt x="16421" y="0"/>
                </a:cubicBezTo>
                <a:cubicBezTo>
                  <a:pt x="25490" y="0"/>
                  <a:pt x="32842" y="7352"/>
                  <a:pt x="32842" y="16421"/>
                </a:cubicBezTo>
                <a:close/>
              </a:path>
            </a:pathLst>
          </a:custGeom>
          <a:solidFill>
            <a:srgbClr val="505050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31" name="Forma Livre 30">
            <a:extLst>
              <a:ext uri="{FF2B5EF4-FFF2-40B4-BE49-F238E27FC236}">
                <a16:creationId xmlns:a16="http://schemas.microsoft.com/office/drawing/2014/main" id="{598A86EE-6610-0AD4-B048-76C2FEB316B6}"/>
              </a:ext>
            </a:extLst>
          </xdr:cNvPr>
          <xdr:cNvSpPr/>
        </xdr:nvSpPr>
        <xdr:spPr>
          <a:xfrm>
            <a:off x="9583747" y="3863217"/>
            <a:ext cx="32841" cy="32841"/>
          </a:xfrm>
          <a:custGeom>
            <a:avLst/>
            <a:gdLst>
              <a:gd name="connsiteX0" fmla="*/ 32842 w 32841"/>
              <a:gd name="connsiteY0" fmla="*/ 16421 h 32841"/>
              <a:gd name="connsiteX1" fmla="*/ 16421 w 32841"/>
              <a:gd name="connsiteY1" fmla="*/ 32842 h 32841"/>
              <a:gd name="connsiteX2" fmla="*/ 0 w 32841"/>
              <a:gd name="connsiteY2" fmla="*/ 16421 h 32841"/>
              <a:gd name="connsiteX3" fmla="*/ 16421 w 32841"/>
              <a:gd name="connsiteY3" fmla="*/ 0 h 32841"/>
              <a:gd name="connsiteX4" fmla="*/ 32842 w 32841"/>
              <a:gd name="connsiteY4" fmla="*/ 16421 h 328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2841" h="32841">
                <a:moveTo>
                  <a:pt x="32842" y="16421"/>
                </a:moveTo>
                <a:cubicBezTo>
                  <a:pt x="32842" y="25490"/>
                  <a:pt x="25490" y="32842"/>
                  <a:pt x="16421" y="32842"/>
                </a:cubicBezTo>
                <a:cubicBezTo>
                  <a:pt x="7352" y="32842"/>
                  <a:pt x="0" y="25490"/>
                  <a:pt x="0" y="16421"/>
                </a:cubicBezTo>
                <a:cubicBezTo>
                  <a:pt x="0" y="7352"/>
                  <a:pt x="7352" y="0"/>
                  <a:pt x="16421" y="0"/>
                </a:cubicBezTo>
                <a:cubicBezTo>
                  <a:pt x="25490" y="0"/>
                  <a:pt x="32842" y="7352"/>
                  <a:pt x="32842" y="16421"/>
                </a:cubicBezTo>
                <a:close/>
              </a:path>
            </a:pathLst>
          </a:custGeom>
          <a:solidFill>
            <a:srgbClr val="505050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32" name="Forma Livre 31">
            <a:extLst>
              <a:ext uri="{FF2B5EF4-FFF2-40B4-BE49-F238E27FC236}">
                <a16:creationId xmlns:a16="http://schemas.microsoft.com/office/drawing/2014/main" id="{FAAED657-751E-A61D-6977-1A25DA2326E3}"/>
              </a:ext>
            </a:extLst>
          </xdr:cNvPr>
          <xdr:cNvSpPr/>
        </xdr:nvSpPr>
        <xdr:spPr>
          <a:xfrm>
            <a:off x="9465609" y="3701080"/>
            <a:ext cx="32841" cy="32841"/>
          </a:xfrm>
          <a:custGeom>
            <a:avLst/>
            <a:gdLst>
              <a:gd name="connsiteX0" fmla="*/ 32842 w 32841"/>
              <a:gd name="connsiteY0" fmla="*/ 16421 h 32841"/>
              <a:gd name="connsiteX1" fmla="*/ 16421 w 32841"/>
              <a:gd name="connsiteY1" fmla="*/ 32842 h 32841"/>
              <a:gd name="connsiteX2" fmla="*/ 0 w 32841"/>
              <a:gd name="connsiteY2" fmla="*/ 16421 h 32841"/>
              <a:gd name="connsiteX3" fmla="*/ 16421 w 32841"/>
              <a:gd name="connsiteY3" fmla="*/ 0 h 32841"/>
              <a:gd name="connsiteX4" fmla="*/ 32842 w 32841"/>
              <a:gd name="connsiteY4" fmla="*/ 16421 h 328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2841" h="32841">
                <a:moveTo>
                  <a:pt x="32842" y="16421"/>
                </a:moveTo>
                <a:cubicBezTo>
                  <a:pt x="32842" y="25490"/>
                  <a:pt x="25490" y="32842"/>
                  <a:pt x="16421" y="32842"/>
                </a:cubicBezTo>
                <a:cubicBezTo>
                  <a:pt x="7352" y="32842"/>
                  <a:pt x="0" y="25490"/>
                  <a:pt x="0" y="16421"/>
                </a:cubicBezTo>
                <a:cubicBezTo>
                  <a:pt x="0" y="7352"/>
                  <a:pt x="7352" y="0"/>
                  <a:pt x="16421" y="0"/>
                </a:cubicBezTo>
                <a:cubicBezTo>
                  <a:pt x="25490" y="0"/>
                  <a:pt x="32842" y="7352"/>
                  <a:pt x="32842" y="16421"/>
                </a:cubicBezTo>
                <a:close/>
              </a:path>
            </a:pathLst>
          </a:custGeom>
          <a:solidFill>
            <a:srgbClr val="505050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</xdr:grpSp>
    <xdr:clientData/>
  </xdr:twoCellAnchor>
  <xdr:twoCellAnchor>
    <xdr:from>
      <xdr:col>0</xdr:col>
      <xdr:colOff>114418</xdr:colOff>
      <xdr:row>1</xdr:row>
      <xdr:rowOff>81849</xdr:rowOff>
    </xdr:from>
    <xdr:to>
      <xdr:col>1</xdr:col>
      <xdr:colOff>1474330</xdr:colOff>
      <xdr:row>1</xdr:row>
      <xdr:rowOff>971487</xdr:rowOff>
    </xdr:to>
    <xdr:grpSp>
      <xdr:nvGrpSpPr>
        <xdr:cNvPr id="59" name="Grupo 58">
          <a:extLst>
            <a:ext uri="{FF2B5EF4-FFF2-40B4-BE49-F238E27FC236}">
              <a16:creationId xmlns:a16="http://schemas.microsoft.com/office/drawing/2014/main" id="{58B00841-DADD-F8E5-580A-C268C2135715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 rot="21170715">
          <a:off x="114418" y="287589"/>
          <a:ext cx="1565652" cy="889638"/>
          <a:chOff x="7187023" y="2824344"/>
          <a:chExt cx="1558873" cy="880453"/>
        </a:xfrm>
      </xdr:grpSpPr>
      <xdr:sp macro="" textlink="">
        <xdr:nvSpPr>
          <xdr:cNvPr id="35" name="Forma Livre 34">
            <a:extLst>
              <a:ext uri="{FF2B5EF4-FFF2-40B4-BE49-F238E27FC236}">
                <a16:creationId xmlns:a16="http://schemas.microsoft.com/office/drawing/2014/main" id="{E5F7B7C5-2F2C-A6CA-6098-BF44A11DF628}"/>
              </a:ext>
            </a:extLst>
          </xdr:cNvPr>
          <xdr:cNvSpPr/>
        </xdr:nvSpPr>
        <xdr:spPr>
          <a:xfrm rot="16523189">
            <a:off x="7458253" y="3497750"/>
            <a:ext cx="68118" cy="65575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6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6"/>
                  <a:pt x="32838" y="65676"/>
                </a:cubicBezTo>
                <a:cubicBezTo>
                  <a:pt x="14702" y="65676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chemeClr val="accent1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36" name="Forma Livre 35">
            <a:extLst>
              <a:ext uri="{FF2B5EF4-FFF2-40B4-BE49-F238E27FC236}">
                <a16:creationId xmlns:a16="http://schemas.microsoft.com/office/drawing/2014/main" id="{62A975C1-0732-F234-3AE2-9EAB8FDFC11E}"/>
              </a:ext>
            </a:extLst>
          </xdr:cNvPr>
          <xdr:cNvSpPr/>
        </xdr:nvSpPr>
        <xdr:spPr>
          <a:xfrm rot="16523189">
            <a:off x="8680418" y="2824247"/>
            <a:ext cx="65382" cy="65575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6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6"/>
                  <a:pt x="32838" y="65676"/>
                </a:cubicBezTo>
                <a:cubicBezTo>
                  <a:pt x="14702" y="65676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rgbClr val="F2F2F2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37" name="Forma Livre 36">
            <a:extLst>
              <a:ext uri="{FF2B5EF4-FFF2-40B4-BE49-F238E27FC236}">
                <a16:creationId xmlns:a16="http://schemas.microsoft.com/office/drawing/2014/main" id="{136DAABC-99B9-7284-AD97-B29C56C530A1}"/>
              </a:ext>
            </a:extLst>
          </xdr:cNvPr>
          <xdr:cNvSpPr/>
        </xdr:nvSpPr>
        <xdr:spPr>
          <a:xfrm rot="16523189">
            <a:off x="7994089" y="2919864"/>
            <a:ext cx="65382" cy="65575"/>
          </a:xfrm>
          <a:custGeom>
            <a:avLst/>
            <a:gdLst>
              <a:gd name="connsiteX0" fmla="*/ 65676 w 65676"/>
              <a:gd name="connsiteY0" fmla="*/ 32838 h 65676"/>
              <a:gd name="connsiteX1" fmla="*/ 32838 w 65676"/>
              <a:gd name="connsiteY1" fmla="*/ 65676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6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6" y="32838"/>
                </a:moveTo>
                <a:cubicBezTo>
                  <a:pt x="65676" y="50974"/>
                  <a:pt x="50974" y="65676"/>
                  <a:pt x="32838" y="65676"/>
                </a:cubicBezTo>
                <a:cubicBezTo>
                  <a:pt x="14702" y="65676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6" y="14702"/>
                  <a:pt x="65676" y="32838"/>
                </a:cubicBezTo>
                <a:close/>
              </a:path>
            </a:pathLst>
          </a:custGeom>
          <a:solidFill>
            <a:srgbClr val="D2D2D2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38" name="Forma Livre 37">
            <a:extLst>
              <a:ext uri="{FF2B5EF4-FFF2-40B4-BE49-F238E27FC236}">
                <a16:creationId xmlns:a16="http://schemas.microsoft.com/office/drawing/2014/main" id="{61FE8746-5465-EDF5-F953-E4B02716A106}"/>
              </a:ext>
            </a:extLst>
          </xdr:cNvPr>
          <xdr:cNvSpPr/>
        </xdr:nvSpPr>
        <xdr:spPr>
          <a:xfrm rot="16523189">
            <a:off x="8185224" y="3002021"/>
            <a:ext cx="65382" cy="68393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6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6"/>
                  <a:pt x="32838" y="65676"/>
                </a:cubicBezTo>
                <a:cubicBezTo>
                  <a:pt x="14702" y="65676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chemeClr val="accent1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39" name="Forma Livre 38">
            <a:extLst>
              <a:ext uri="{FF2B5EF4-FFF2-40B4-BE49-F238E27FC236}">
                <a16:creationId xmlns:a16="http://schemas.microsoft.com/office/drawing/2014/main" id="{553AE1E8-A4D9-2167-9D51-6843C04D4928}"/>
              </a:ext>
            </a:extLst>
          </xdr:cNvPr>
          <xdr:cNvSpPr/>
        </xdr:nvSpPr>
        <xdr:spPr>
          <a:xfrm rot="16523189">
            <a:off x="8536219" y="2988479"/>
            <a:ext cx="65382" cy="68393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6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6"/>
                  <a:pt x="32838" y="65676"/>
                </a:cubicBezTo>
                <a:cubicBezTo>
                  <a:pt x="14702" y="65676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rgbClr val="737373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40" name="Forma Livre 39">
            <a:extLst>
              <a:ext uri="{FF2B5EF4-FFF2-40B4-BE49-F238E27FC236}">
                <a16:creationId xmlns:a16="http://schemas.microsoft.com/office/drawing/2014/main" id="{1A4E3537-2EBC-FFD4-EDC0-3A3AD7ED91F1}"/>
              </a:ext>
            </a:extLst>
          </xdr:cNvPr>
          <xdr:cNvSpPr/>
        </xdr:nvSpPr>
        <xdr:spPr>
          <a:xfrm rot="16523189">
            <a:off x="7561053" y="3307384"/>
            <a:ext cx="65382" cy="68391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7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7"/>
                  <a:pt x="32838" y="65677"/>
                </a:cubicBezTo>
                <a:cubicBezTo>
                  <a:pt x="14702" y="65677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chemeClr val="tx2">
              <a:lumMod val="50000"/>
            </a:schemeClr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41" name="Forma Livre 40">
            <a:extLst>
              <a:ext uri="{FF2B5EF4-FFF2-40B4-BE49-F238E27FC236}">
                <a16:creationId xmlns:a16="http://schemas.microsoft.com/office/drawing/2014/main" id="{3CE76946-3514-F9D4-EDCE-5B68C12EDD9F}"/>
              </a:ext>
            </a:extLst>
          </xdr:cNvPr>
          <xdr:cNvSpPr/>
        </xdr:nvSpPr>
        <xdr:spPr>
          <a:xfrm rot="16523189">
            <a:off x="7679068" y="3352325"/>
            <a:ext cx="65382" cy="65575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7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7"/>
                  <a:pt x="32838" y="65677"/>
                </a:cubicBezTo>
                <a:cubicBezTo>
                  <a:pt x="14702" y="65677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rgbClr val="737373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42" name="Forma Livre 41">
            <a:extLst>
              <a:ext uri="{FF2B5EF4-FFF2-40B4-BE49-F238E27FC236}">
                <a16:creationId xmlns:a16="http://schemas.microsoft.com/office/drawing/2014/main" id="{694815FA-3A8F-3D72-4A4C-AB9821A9CD8A}"/>
              </a:ext>
            </a:extLst>
          </xdr:cNvPr>
          <xdr:cNvSpPr/>
        </xdr:nvSpPr>
        <xdr:spPr>
          <a:xfrm rot="16523189">
            <a:off x="7381943" y="3637949"/>
            <a:ext cx="68120" cy="65575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7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7"/>
                  <a:pt x="32838" y="65677"/>
                </a:cubicBezTo>
                <a:cubicBezTo>
                  <a:pt x="14702" y="65677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chemeClr val="accent1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43" name="Forma Livre 42">
            <a:extLst>
              <a:ext uri="{FF2B5EF4-FFF2-40B4-BE49-F238E27FC236}">
                <a16:creationId xmlns:a16="http://schemas.microsoft.com/office/drawing/2014/main" id="{0201311B-EC14-88D7-4057-2685D9CEB653}"/>
              </a:ext>
            </a:extLst>
          </xdr:cNvPr>
          <xdr:cNvSpPr/>
        </xdr:nvSpPr>
        <xdr:spPr>
          <a:xfrm rot="16523189">
            <a:off x="7188528" y="3353130"/>
            <a:ext cx="65382" cy="68391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7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7"/>
                  <a:pt x="32838" y="65677"/>
                </a:cubicBezTo>
                <a:cubicBezTo>
                  <a:pt x="14702" y="65677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rgbClr val="505050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44" name="Forma Livre 43">
            <a:extLst>
              <a:ext uri="{FF2B5EF4-FFF2-40B4-BE49-F238E27FC236}">
                <a16:creationId xmlns:a16="http://schemas.microsoft.com/office/drawing/2014/main" id="{1354C58D-C3D9-7CE3-42F6-61B7E8467E58}"/>
              </a:ext>
            </a:extLst>
          </xdr:cNvPr>
          <xdr:cNvSpPr/>
        </xdr:nvSpPr>
        <xdr:spPr>
          <a:xfrm rot="16523189">
            <a:off x="7666414" y="3106198"/>
            <a:ext cx="65382" cy="65575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7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7"/>
                  <a:pt x="32838" y="65677"/>
                </a:cubicBezTo>
                <a:cubicBezTo>
                  <a:pt x="14702" y="65677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rgbClr val="F2F2F2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45" name="Forma Livre 44">
            <a:extLst>
              <a:ext uri="{FF2B5EF4-FFF2-40B4-BE49-F238E27FC236}">
                <a16:creationId xmlns:a16="http://schemas.microsoft.com/office/drawing/2014/main" id="{D8D01102-33A0-A433-6F39-9095363B658D}"/>
              </a:ext>
            </a:extLst>
          </xdr:cNvPr>
          <xdr:cNvSpPr/>
        </xdr:nvSpPr>
        <xdr:spPr>
          <a:xfrm rot="16523189">
            <a:off x="7828395" y="2977184"/>
            <a:ext cx="65382" cy="65575"/>
          </a:xfrm>
          <a:custGeom>
            <a:avLst/>
            <a:gdLst>
              <a:gd name="connsiteX0" fmla="*/ 65676 w 65676"/>
              <a:gd name="connsiteY0" fmla="*/ 32838 h 65676"/>
              <a:gd name="connsiteX1" fmla="*/ 32838 w 65676"/>
              <a:gd name="connsiteY1" fmla="*/ 65677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6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6" y="32838"/>
                </a:moveTo>
                <a:cubicBezTo>
                  <a:pt x="65676" y="50974"/>
                  <a:pt x="50974" y="65677"/>
                  <a:pt x="32838" y="65677"/>
                </a:cubicBezTo>
                <a:cubicBezTo>
                  <a:pt x="14702" y="65677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6" y="14702"/>
                  <a:pt x="65676" y="32838"/>
                </a:cubicBezTo>
                <a:close/>
              </a:path>
            </a:pathLst>
          </a:custGeom>
          <a:solidFill>
            <a:srgbClr val="505050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46" name="Forma Livre 45">
            <a:extLst>
              <a:ext uri="{FF2B5EF4-FFF2-40B4-BE49-F238E27FC236}">
                <a16:creationId xmlns:a16="http://schemas.microsoft.com/office/drawing/2014/main" id="{B3FDF5D1-F306-A769-60C4-C794A58DFFB4}"/>
              </a:ext>
            </a:extLst>
          </xdr:cNvPr>
          <xdr:cNvSpPr/>
        </xdr:nvSpPr>
        <xdr:spPr>
          <a:xfrm rot="16523189">
            <a:off x="8120055" y="3128993"/>
            <a:ext cx="68120" cy="65575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6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6"/>
                  <a:pt x="32838" y="65676"/>
                </a:cubicBezTo>
                <a:cubicBezTo>
                  <a:pt x="14702" y="65676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rgbClr val="F2F2F2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47" name="Forma Livre 46">
            <a:extLst>
              <a:ext uri="{FF2B5EF4-FFF2-40B4-BE49-F238E27FC236}">
                <a16:creationId xmlns:a16="http://schemas.microsoft.com/office/drawing/2014/main" id="{D076605A-6AE8-A401-7140-88611FE453BE}"/>
              </a:ext>
            </a:extLst>
          </xdr:cNvPr>
          <xdr:cNvSpPr/>
        </xdr:nvSpPr>
        <xdr:spPr>
          <a:xfrm rot="16523189">
            <a:off x="7553776" y="2974001"/>
            <a:ext cx="65382" cy="65575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7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7"/>
                  <a:pt x="32838" y="65677"/>
                </a:cubicBezTo>
                <a:cubicBezTo>
                  <a:pt x="14702" y="65677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chemeClr val="tx2">
              <a:lumMod val="50000"/>
            </a:schemeClr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48" name="Forma Livre 47">
            <a:extLst>
              <a:ext uri="{FF2B5EF4-FFF2-40B4-BE49-F238E27FC236}">
                <a16:creationId xmlns:a16="http://schemas.microsoft.com/office/drawing/2014/main" id="{7EBF7415-77C2-8ACD-E947-D14318576DA5}"/>
              </a:ext>
            </a:extLst>
          </xdr:cNvPr>
          <xdr:cNvSpPr/>
        </xdr:nvSpPr>
        <xdr:spPr>
          <a:xfrm rot="16523189">
            <a:off x="7438238" y="3302503"/>
            <a:ext cx="65382" cy="65575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7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7"/>
                  <a:pt x="32838" y="65677"/>
                </a:cubicBezTo>
                <a:cubicBezTo>
                  <a:pt x="14702" y="65677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rgbClr val="737373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49" name="Forma Livre 48">
            <a:extLst>
              <a:ext uri="{FF2B5EF4-FFF2-40B4-BE49-F238E27FC236}">
                <a16:creationId xmlns:a16="http://schemas.microsoft.com/office/drawing/2014/main" id="{FAD06EEC-F6DB-1D33-62D8-42436DA34EFF}"/>
              </a:ext>
            </a:extLst>
          </xdr:cNvPr>
          <xdr:cNvSpPr/>
        </xdr:nvSpPr>
        <xdr:spPr>
          <a:xfrm rot="16523189">
            <a:off x="7972050" y="3330992"/>
            <a:ext cx="65382" cy="65575"/>
          </a:xfrm>
          <a:custGeom>
            <a:avLst/>
            <a:gdLst>
              <a:gd name="connsiteX0" fmla="*/ 65676 w 65676"/>
              <a:gd name="connsiteY0" fmla="*/ 32838 h 65676"/>
              <a:gd name="connsiteX1" fmla="*/ 32838 w 65676"/>
              <a:gd name="connsiteY1" fmla="*/ 65676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6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6" y="32838"/>
                </a:moveTo>
                <a:cubicBezTo>
                  <a:pt x="65676" y="50974"/>
                  <a:pt x="50974" y="65676"/>
                  <a:pt x="32838" y="65676"/>
                </a:cubicBezTo>
                <a:cubicBezTo>
                  <a:pt x="14702" y="65676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6" y="14702"/>
                  <a:pt x="65676" y="32838"/>
                </a:cubicBezTo>
                <a:close/>
              </a:path>
            </a:pathLst>
          </a:custGeom>
          <a:solidFill>
            <a:schemeClr val="accent1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50" name="Forma Livre 49">
            <a:extLst>
              <a:ext uri="{FF2B5EF4-FFF2-40B4-BE49-F238E27FC236}">
                <a16:creationId xmlns:a16="http://schemas.microsoft.com/office/drawing/2014/main" id="{BBAF5730-AC26-6C63-5402-FB660EC26C0B}"/>
              </a:ext>
            </a:extLst>
          </xdr:cNvPr>
          <xdr:cNvSpPr/>
        </xdr:nvSpPr>
        <xdr:spPr>
          <a:xfrm rot="16523189">
            <a:off x="7797667" y="3081950"/>
            <a:ext cx="65382" cy="65575"/>
          </a:xfrm>
          <a:custGeom>
            <a:avLst/>
            <a:gdLst>
              <a:gd name="connsiteX0" fmla="*/ 65676 w 65676"/>
              <a:gd name="connsiteY0" fmla="*/ 32838 h 65676"/>
              <a:gd name="connsiteX1" fmla="*/ 32838 w 65676"/>
              <a:gd name="connsiteY1" fmla="*/ 65677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6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6" y="32838"/>
                </a:moveTo>
                <a:cubicBezTo>
                  <a:pt x="65676" y="50974"/>
                  <a:pt x="50974" y="65677"/>
                  <a:pt x="32838" y="65677"/>
                </a:cubicBezTo>
                <a:cubicBezTo>
                  <a:pt x="14702" y="65677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6" y="14702"/>
                  <a:pt x="65676" y="32838"/>
                </a:cubicBezTo>
                <a:close/>
              </a:path>
            </a:pathLst>
          </a:custGeom>
          <a:solidFill>
            <a:schemeClr val="tx2">
              <a:lumMod val="50000"/>
            </a:schemeClr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51" name="Forma Livre 50">
            <a:extLst>
              <a:ext uri="{FF2B5EF4-FFF2-40B4-BE49-F238E27FC236}">
                <a16:creationId xmlns:a16="http://schemas.microsoft.com/office/drawing/2014/main" id="{A8AA0483-B0E7-E368-ADF2-DDF82DEE1A12}"/>
              </a:ext>
            </a:extLst>
          </xdr:cNvPr>
          <xdr:cNvSpPr/>
        </xdr:nvSpPr>
        <xdr:spPr>
          <a:xfrm rot="16523189">
            <a:off x="7953379" y="3163806"/>
            <a:ext cx="68120" cy="65575"/>
          </a:xfrm>
          <a:custGeom>
            <a:avLst/>
            <a:gdLst>
              <a:gd name="connsiteX0" fmla="*/ 65677 w 65676"/>
              <a:gd name="connsiteY0" fmla="*/ 32838 h 65676"/>
              <a:gd name="connsiteX1" fmla="*/ 32838 w 65676"/>
              <a:gd name="connsiteY1" fmla="*/ 65676 h 65676"/>
              <a:gd name="connsiteX2" fmla="*/ 0 w 65676"/>
              <a:gd name="connsiteY2" fmla="*/ 32838 h 65676"/>
              <a:gd name="connsiteX3" fmla="*/ 32838 w 65676"/>
              <a:gd name="connsiteY3" fmla="*/ 0 h 65676"/>
              <a:gd name="connsiteX4" fmla="*/ 65677 w 65676"/>
              <a:gd name="connsiteY4" fmla="*/ 32838 h 656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5676" h="65676">
                <a:moveTo>
                  <a:pt x="65677" y="32838"/>
                </a:moveTo>
                <a:cubicBezTo>
                  <a:pt x="65677" y="50974"/>
                  <a:pt x="50974" y="65676"/>
                  <a:pt x="32838" y="65676"/>
                </a:cubicBezTo>
                <a:cubicBezTo>
                  <a:pt x="14702" y="65676"/>
                  <a:pt x="0" y="50974"/>
                  <a:pt x="0" y="32838"/>
                </a:cubicBezTo>
                <a:cubicBezTo>
                  <a:pt x="0" y="14702"/>
                  <a:pt x="14702" y="0"/>
                  <a:pt x="32838" y="0"/>
                </a:cubicBezTo>
                <a:cubicBezTo>
                  <a:pt x="50974" y="0"/>
                  <a:pt x="65677" y="14702"/>
                  <a:pt x="65677" y="32838"/>
                </a:cubicBezTo>
                <a:close/>
              </a:path>
            </a:pathLst>
          </a:custGeom>
          <a:solidFill>
            <a:schemeClr val="accent1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52" name="Forma Livre 51">
            <a:extLst>
              <a:ext uri="{FF2B5EF4-FFF2-40B4-BE49-F238E27FC236}">
                <a16:creationId xmlns:a16="http://schemas.microsoft.com/office/drawing/2014/main" id="{2EB5C603-83FD-5AD4-8262-29045ECBC23E}"/>
              </a:ext>
            </a:extLst>
          </xdr:cNvPr>
          <xdr:cNvSpPr/>
        </xdr:nvSpPr>
        <xdr:spPr>
          <a:xfrm rot="16523189">
            <a:off x="7900223" y="3057214"/>
            <a:ext cx="32694" cy="32791"/>
          </a:xfrm>
          <a:custGeom>
            <a:avLst/>
            <a:gdLst>
              <a:gd name="connsiteX0" fmla="*/ 32842 w 32841"/>
              <a:gd name="connsiteY0" fmla="*/ 16421 h 32841"/>
              <a:gd name="connsiteX1" fmla="*/ 16421 w 32841"/>
              <a:gd name="connsiteY1" fmla="*/ 32842 h 32841"/>
              <a:gd name="connsiteX2" fmla="*/ 0 w 32841"/>
              <a:gd name="connsiteY2" fmla="*/ 16421 h 32841"/>
              <a:gd name="connsiteX3" fmla="*/ 16421 w 32841"/>
              <a:gd name="connsiteY3" fmla="*/ 0 h 32841"/>
              <a:gd name="connsiteX4" fmla="*/ 32842 w 32841"/>
              <a:gd name="connsiteY4" fmla="*/ 16421 h 328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2841" h="32841">
                <a:moveTo>
                  <a:pt x="32842" y="16421"/>
                </a:moveTo>
                <a:cubicBezTo>
                  <a:pt x="32842" y="25490"/>
                  <a:pt x="25490" y="32842"/>
                  <a:pt x="16421" y="32842"/>
                </a:cubicBezTo>
                <a:cubicBezTo>
                  <a:pt x="7352" y="32842"/>
                  <a:pt x="0" y="25490"/>
                  <a:pt x="0" y="16421"/>
                </a:cubicBezTo>
                <a:cubicBezTo>
                  <a:pt x="0" y="7352"/>
                  <a:pt x="7352" y="0"/>
                  <a:pt x="16421" y="0"/>
                </a:cubicBezTo>
                <a:cubicBezTo>
                  <a:pt x="25490" y="0"/>
                  <a:pt x="32842" y="7352"/>
                  <a:pt x="32842" y="16421"/>
                </a:cubicBezTo>
                <a:close/>
              </a:path>
            </a:pathLst>
          </a:custGeom>
          <a:solidFill>
            <a:srgbClr val="505050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53" name="Forma Livre 52">
            <a:extLst>
              <a:ext uri="{FF2B5EF4-FFF2-40B4-BE49-F238E27FC236}">
                <a16:creationId xmlns:a16="http://schemas.microsoft.com/office/drawing/2014/main" id="{E09996E5-BAAC-3E83-6354-00B673912F9E}"/>
              </a:ext>
            </a:extLst>
          </xdr:cNvPr>
          <xdr:cNvSpPr/>
        </xdr:nvSpPr>
        <xdr:spPr>
          <a:xfrm rot="16523189">
            <a:off x="7801735" y="3231271"/>
            <a:ext cx="32694" cy="32791"/>
          </a:xfrm>
          <a:custGeom>
            <a:avLst/>
            <a:gdLst>
              <a:gd name="connsiteX0" fmla="*/ 32842 w 32841"/>
              <a:gd name="connsiteY0" fmla="*/ 16421 h 32841"/>
              <a:gd name="connsiteX1" fmla="*/ 16421 w 32841"/>
              <a:gd name="connsiteY1" fmla="*/ 32842 h 32841"/>
              <a:gd name="connsiteX2" fmla="*/ 0 w 32841"/>
              <a:gd name="connsiteY2" fmla="*/ 16421 h 32841"/>
              <a:gd name="connsiteX3" fmla="*/ 16421 w 32841"/>
              <a:gd name="connsiteY3" fmla="*/ 0 h 32841"/>
              <a:gd name="connsiteX4" fmla="*/ 32842 w 32841"/>
              <a:gd name="connsiteY4" fmla="*/ 16421 h 328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2841" h="32841">
                <a:moveTo>
                  <a:pt x="32842" y="16421"/>
                </a:moveTo>
                <a:cubicBezTo>
                  <a:pt x="32842" y="25490"/>
                  <a:pt x="25490" y="32842"/>
                  <a:pt x="16421" y="32842"/>
                </a:cubicBezTo>
                <a:cubicBezTo>
                  <a:pt x="7352" y="32842"/>
                  <a:pt x="0" y="25490"/>
                  <a:pt x="0" y="16421"/>
                </a:cubicBezTo>
                <a:cubicBezTo>
                  <a:pt x="0" y="7352"/>
                  <a:pt x="7352" y="0"/>
                  <a:pt x="16421" y="0"/>
                </a:cubicBezTo>
                <a:cubicBezTo>
                  <a:pt x="25490" y="0"/>
                  <a:pt x="32842" y="7352"/>
                  <a:pt x="32842" y="16421"/>
                </a:cubicBezTo>
                <a:close/>
              </a:path>
            </a:pathLst>
          </a:custGeom>
          <a:solidFill>
            <a:srgbClr val="505050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54" name="Forma Livre 53">
            <a:extLst>
              <a:ext uri="{FF2B5EF4-FFF2-40B4-BE49-F238E27FC236}">
                <a16:creationId xmlns:a16="http://schemas.microsoft.com/office/drawing/2014/main" id="{0D9E19DD-A2F7-79FF-9AF3-97EE659FC749}"/>
              </a:ext>
            </a:extLst>
          </xdr:cNvPr>
          <xdr:cNvSpPr/>
        </xdr:nvSpPr>
        <xdr:spPr>
          <a:xfrm rot="16523189">
            <a:off x="7722215" y="3024014"/>
            <a:ext cx="32694" cy="32791"/>
          </a:xfrm>
          <a:custGeom>
            <a:avLst/>
            <a:gdLst>
              <a:gd name="connsiteX0" fmla="*/ 32842 w 32841"/>
              <a:gd name="connsiteY0" fmla="*/ 16421 h 32841"/>
              <a:gd name="connsiteX1" fmla="*/ 16421 w 32841"/>
              <a:gd name="connsiteY1" fmla="*/ 32842 h 32841"/>
              <a:gd name="connsiteX2" fmla="*/ 0 w 32841"/>
              <a:gd name="connsiteY2" fmla="*/ 16421 h 32841"/>
              <a:gd name="connsiteX3" fmla="*/ 16421 w 32841"/>
              <a:gd name="connsiteY3" fmla="*/ 0 h 32841"/>
              <a:gd name="connsiteX4" fmla="*/ 32842 w 32841"/>
              <a:gd name="connsiteY4" fmla="*/ 16421 h 328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2841" h="32841">
                <a:moveTo>
                  <a:pt x="32842" y="16421"/>
                </a:moveTo>
                <a:cubicBezTo>
                  <a:pt x="32842" y="25490"/>
                  <a:pt x="25490" y="32842"/>
                  <a:pt x="16421" y="32842"/>
                </a:cubicBezTo>
                <a:cubicBezTo>
                  <a:pt x="7352" y="32842"/>
                  <a:pt x="0" y="25490"/>
                  <a:pt x="0" y="16421"/>
                </a:cubicBezTo>
                <a:cubicBezTo>
                  <a:pt x="0" y="7352"/>
                  <a:pt x="7352" y="0"/>
                  <a:pt x="16421" y="0"/>
                </a:cubicBezTo>
                <a:cubicBezTo>
                  <a:pt x="25490" y="0"/>
                  <a:pt x="32842" y="7352"/>
                  <a:pt x="32842" y="16421"/>
                </a:cubicBezTo>
                <a:close/>
              </a:path>
            </a:pathLst>
          </a:custGeom>
          <a:solidFill>
            <a:srgbClr val="F2F2F2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55" name="Forma Livre 54">
            <a:extLst>
              <a:ext uri="{FF2B5EF4-FFF2-40B4-BE49-F238E27FC236}">
                <a16:creationId xmlns:a16="http://schemas.microsoft.com/office/drawing/2014/main" id="{6C0F777E-AB9E-40F1-34B5-93108F598CE1}"/>
              </a:ext>
            </a:extLst>
          </xdr:cNvPr>
          <xdr:cNvSpPr/>
        </xdr:nvSpPr>
        <xdr:spPr>
          <a:xfrm rot="16523189">
            <a:off x="8102646" y="3358157"/>
            <a:ext cx="32694" cy="32791"/>
          </a:xfrm>
          <a:custGeom>
            <a:avLst/>
            <a:gdLst>
              <a:gd name="connsiteX0" fmla="*/ 32842 w 32841"/>
              <a:gd name="connsiteY0" fmla="*/ 16421 h 32841"/>
              <a:gd name="connsiteX1" fmla="*/ 16421 w 32841"/>
              <a:gd name="connsiteY1" fmla="*/ 32842 h 32841"/>
              <a:gd name="connsiteX2" fmla="*/ 0 w 32841"/>
              <a:gd name="connsiteY2" fmla="*/ 16421 h 32841"/>
              <a:gd name="connsiteX3" fmla="*/ 16421 w 32841"/>
              <a:gd name="connsiteY3" fmla="*/ 0 h 32841"/>
              <a:gd name="connsiteX4" fmla="*/ 32842 w 32841"/>
              <a:gd name="connsiteY4" fmla="*/ 16421 h 328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2841" h="32841">
                <a:moveTo>
                  <a:pt x="32842" y="16421"/>
                </a:moveTo>
                <a:cubicBezTo>
                  <a:pt x="32842" y="25490"/>
                  <a:pt x="25490" y="32842"/>
                  <a:pt x="16421" y="32842"/>
                </a:cubicBezTo>
                <a:cubicBezTo>
                  <a:pt x="7352" y="32842"/>
                  <a:pt x="0" y="25490"/>
                  <a:pt x="0" y="16421"/>
                </a:cubicBezTo>
                <a:cubicBezTo>
                  <a:pt x="0" y="7352"/>
                  <a:pt x="7352" y="0"/>
                  <a:pt x="16421" y="0"/>
                </a:cubicBezTo>
                <a:cubicBezTo>
                  <a:pt x="25490" y="0"/>
                  <a:pt x="32842" y="7352"/>
                  <a:pt x="32842" y="16421"/>
                </a:cubicBezTo>
                <a:close/>
              </a:path>
            </a:pathLst>
          </a:custGeom>
          <a:solidFill>
            <a:srgbClr val="505050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56" name="Forma Livre 55">
            <a:extLst>
              <a:ext uri="{FF2B5EF4-FFF2-40B4-BE49-F238E27FC236}">
                <a16:creationId xmlns:a16="http://schemas.microsoft.com/office/drawing/2014/main" id="{3A8AF4D2-53F0-132A-1506-378A96EF5F16}"/>
              </a:ext>
            </a:extLst>
          </xdr:cNvPr>
          <xdr:cNvSpPr/>
        </xdr:nvSpPr>
        <xdr:spPr>
          <a:xfrm rot="16523189">
            <a:off x="7996066" y="3266015"/>
            <a:ext cx="32694" cy="32791"/>
          </a:xfrm>
          <a:custGeom>
            <a:avLst/>
            <a:gdLst>
              <a:gd name="connsiteX0" fmla="*/ 32842 w 32841"/>
              <a:gd name="connsiteY0" fmla="*/ 16421 h 32841"/>
              <a:gd name="connsiteX1" fmla="*/ 16421 w 32841"/>
              <a:gd name="connsiteY1" fmla="*/ 32842 h 32841"/>
              <a:gd name="connsiteX2" fmla="*/ 0 w 32841"/>
              <a:gd name="connsiteY2" fmla="*/ 16421 h 32841"/>
              <a:gd name="connsiteX3" fmla="*/ 16421 w 32841"/>
              <a:gd name="connsiteY3" fmla="*/ 0 h 32841"/>
              <a:gd name="connsiteX4" fmla="*/ 32842 w 32841"/>
              <a:gd name="connsiteY4" fmla="*/ 16421 h 328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2841" h="32841">
                <a:moveTo>
                  <a:pt x="32842" y="16421"/>
                </a:moveTo>
                <a:cubicBezTo>
                  <a:pt x="32842" y="25490"/>
                  <a:pt x="25490" y="32842"/>
                  <a:pt x="16421" y="32842"/>
                </a:cubicBezTo>
                <a:cubicBezTo>
                  <a:pt x="7352" y="32842"/>
                  <a:pt x="0" y="25490"/>
                  <a:pt x="0" y="16421"/>
                </a:cubicBezTo>
                <a:cubicBezTo>
                  <a:pt x="0" y="7352"/>
                  <a:pt x="7352" y="0"/>
                  <a:pt x="16421" y="0"/>
                </a:cubicBezTo>
                <a:cubicBezTo>
                  <a:pt x="25490" y="0"/>
                  <a:pt x="32842" y="7352"/>
                  <a:pt x="32842" y="16421"/>
                </a:cubicBezTo>
                <a:close/>
              </a:path>
            </a:pathLst>
          </a:custGeom>
          <a:solidFill>
            <a:srgbClr val="505050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57" name="Forma Livre 56">
            <a:extLst>
              <a:ext uri="{FF2B5EF4-FFF2-40B4-BE49-F238E27FC236}">
                <a16:creationId xmlns:a16="http://schemas.microsoft.com/office/drawing/2014/main" id="{648C84DD-46A2-B4B4-85C6-E9DF5456BC78}"/>
              </a:ext>
            </a:extLst>
          </xdr:cNvPr>
          <xdr:cNvSpPr/>
        </xdr:nvSpPr>
        <xdr:spPr>
          <a:xfrm rot="16523189">
            <a:off x="8367339" y="2850513"/>
            <a:ext cx="32694" cy="32791"/>
          </a:xfrm>
          <a:custGeom>
            <a:avLst/>
            <a:gdLst>
              <a:gd name="connsiteX0" fmla="*/ 32842 w 32841"/>
              <a:gd name="connsiteY0" fmla="*/ 16421 h 32841"/>
              <a:gd name="connsiteX1" fmla="*/ 16421 w 32841"/>
              <a:gd name="connsiteY1" fmla="*/ 32842 h 32841"/>
              <a:gd name="connsiteX2" fmla="*/ 0 w 32841"/>
              <a:gd name="connsiteY2" fmla="*/ 16421 h 32841"/>
              <a:gd name="connsiteX3" fmla="*/ 16421 w 32841"/>
              <a:gd name="connsiteY3" fmla="*/ 0 h 32841"/>
              <a:gd name="connsiteX4" fmla="*/ 32842 w 32841"/>
              <a:gd name="connsiteY4" fmla="*/ 16421 h 328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2841" h="32841">
                <a:moveTo>
                  <a:pt x="32842" y="16421"/>
                </a:moveTo>
                <a:cubicBezTo>
                  <a:pt x="32842" y="25490"/>
                  <a:pt x="25490" y="32842"/>
                  <a:pt x="16421" y="32842"/>
                </a:cubicBezTo>
                <a:cubicBezTo>
                  <a:pt x="7352" y="32842"/>
                  <a:pt x="0" y="25490"/>
                  <a:pt x="0" y="16421"/>
                </a:cubicBezTo>
                <a:cubicBezTo>
                  <a:pt x="0" y="7352"/>
                  <a:pt x="7352" y="0"/>
                  <a:pt x="16421" y="0"/>
                </a:cubicBezTo>
                <a:cubicBezTo>
                  <a:pt x="25490" y="0"/>
                  <a:pt x="32842" y="7352"/>
                  <a:pt x="32842" y="16421"/>
                </a:cubicBezTo>
                <a:close/>
              </a:path>
            </a:pathLst>
          </a:custGeom>
          <a:solidFill>
            <a:srgbClr val="505050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  <xdr:sp macro="" textlink="">
        <xdr:nvSpPr>
          <xdr:cNvPr id="58" name="Forma Livre 57">
            <a:extLst>
              <a:ext uri="{FF2B5EF4-FFF2-40B4-BE49-F238E27FC236}">
                <a16:creationId xmlns:a16="http://schemas.microsoft.com/office/drawing/2014/main" id="{13C741BB-7C71-2166-6A88-AEF06A4755EE}"/>
              </a:ext>
            </a:extLst>
          </xdr:cNvPr>
          <xdr:cNvSpPr/>
        </xdr:nvSpPr>
        <xdr:spPr>
          <a:xfrm rot="16523189">
            <a:off x="7887947" y="3190144"/>
            <a:ext cx="32694" cy="32791"/>
          </a:xfrm>
          <a:custGeom>
            <a:avLst/>
            <a:gdLst>
              <a:gd name="connsiteX0" fmla="*/ 32842 w 32841"/>
              <a:gd name="connsiteY0" fmla="*/ 16421 h 32841"/>
              <a:gd name="connsiteX1" fmla="*/ 16421 w 32841"/>
              <a:gd name="connsiteY1" fmla="*/ 32842 h 32841"/>
              <a:gd name="connsiteX2" fmla="*/ 0 w 32841"/>
              <a:gd name="connsiteY2" fmla="*/ 16421 h 32841"/>
              <a:gd name="connsiteX3" fmla="*/ 16421 w 32841"/>
              <a:gd name="connsiteY3" fmla="*/ 0 h 32841"/>
              <a:gd name="connsiteX4" fmla="*/ 32842 w 32841"/>
              <a:gd name="connsiteY4" fmla="*/ 16421 h 328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2841" h="32841">
                <a:moveTo>
                  <a:pt x="32842" y="16421"/>
                </a:moveTo>
                <a:cubicBezTo>
                  <a:pt x="32842" y="25490"/>
                  <a:pt x="25490" y="32842"/>
                  <a:pt x="16421" y="32842"/>
                </a:cubicBezTo>
                <a:cubicBezTo>
                  <a:pt x="7352" y="32842"/>
                  <a:pt x="0" y="25490"/>
                  <a:pt x="0" y="16421"/>
                </a:cubicBezTo>
                <a:cubicBezTo>
                  <a:pt x="0" y="7352"/>
                  <a:pt x="7352" y="0"/>
                  <a:pt x="16421" y="0"/>
                </a:cubicBezTo>
                <a:cubicBezTo>
                  <a:pt x="25490" y="0"/>
                  <a:pt x="32842" y="7352"/>
                  <a:pt x="32842" y="16421"/>
                </a:cubicBezTo>
                <a:close/>
              </a:path>
            </a:pathLst>
          </a:custGeom>
          <a:solidFill>
            <a:srgbClr val="505050"/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pPr rtl="0"/>
            <a:endParaRPr 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189238</xdr:colOff>
      <xdr:row>2</xdr:row>
      <xdr:rowOff>271716</xdr:rowOff>
    </xdr:from>
    <xdr:to>
      <xdr:col>4</xdr:col>
      <xdr:colOff>1937647</xdr:colOff>
      <xdr:row>2</xdr:row>
      <xdr:rowOff>271716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41546ABF-60EC-9882-0B03-79950F81827A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189238" y="1759521"/>
          <a:ext cx="8756904" cy="0"/>
          <a:chOff x="189238" y="1672450"/>
          <a:chExt cx="6661192" cy="0"/>
        </a:xfrm>
      </xdr:grpSpPr>
      <xdr:cxnSp macro="">
        <xdr:nvCxnSpPr>
          <xdr:cNvPr id="16" name="Conector Reto 15">
            <a:extLst>
              <a:ext uri="{FF2B5EF4-FFF2-40B4-BE49-F238E27FC236}">
                <a16:creationId xmlns:a16="http://schemas.microsoft.com/office/drawing/2014/main" id="{80460630-DE29-0D4C-9802-5E76CE261144}"/>
              </a:ext>
            </a:extLst>
          </xdr:cNvPr>
          <xdr:cNvCxnSpPr/>
        </xdr:nvCxnSpPr>
        <xdr:spPr>
          <a:xfrm>
            <a:off x="189238" y="1672450"/>
            <a:ext cx="182880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Conector Reto 16">
            <a:extLst>
              <a:ext uri="{FF2B5EF4-FFF2-40B4-BE49-F238E27FC236}">
                <a16:creationId xmlns:a16="http://schemas.microsoft.com/office/drawing/2014/main" id="{9EEE64DF-BDAE-A5A1-B3D9-9252FC78F9D1}"/>
              </a:ext>
            </a:extLst>
          </xdr:cNvPr>
          <xdr:cNvCxnSpPr/>
        </xdr:nvCxnSpPr>
        <xdr:spPr>
          <a:xfrm>
            <a:off x="5017579" y="1672450"/>
            <a:ext cx="1832851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189238</xdr:colOff>
      <xdr:row>18</xdr:row>
      <xdr:rowOff>281876</xdr:rowOff>
    </xdr:from>
    <xdr:to>
      <xdr:col>4</xdr:col>
      <xdr:colOff>1937647</xdr:colOff>
      <xdr:row>18</xdr:row>
      <xdr:rowOff>281876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9E935014-EE73-831A-C435-6556D3AF307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189238" y="7143686"/>
          <a:ext cx="8756904" cy="0"/>
          <a:chOff x="189238" y="1672450"/>
          <a:chExt cx="6661192" cy="0"/>
        </a:xfrm>
      </xdr:grpSpPr>
      <xdr:cxnSp macro="">
        <xdr:nvCxnSpPr>
          <xdr:cNvPr id="20" name="Conector Reto 19">
            <a:extLst>
              <a:ext uri="{FF2B5EF4-FFF2-40B4-BE49-F238E27FC236}">
                <a16:creationId xmlns:a16="http://schemas.microsoft.com/office/drawing/2014/main" id="{F312F093-F71C-6C2D-5FEB-FD19427022D4}"/>
              </a:ext>
            </a:extLst>
          </xdr:cNvPr>
          <xdr:cNvCxnSpPr/>
        </xdr:nvCxnSpPr>
        <xdr:spPr>
          <a:xfrm>
            <a:off x="189238" y="1672450"/>
            <a:ext cx="182880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Conector Reto 20">
            <a:extLst>
              <a:ext uri="{FF2B5EF4-FFF2-40B4-BE49-F238E27FC236}">
                <a16:creationId xmlns:a16="http://schemas.microsoft.com/office/drawing/2014/main" id="{998A874F-6505-0475-6E48-0F8A52995D78}"/>
              </a:ext>
            </a:extLst>
          </xdr:cNvPr>
          <xdr:cNvCxnSpPr/>
        </xdr:nvCxnSpPr>
        <xdr:spPr>
          <a:xfrm>
            <a:off x="5017579" y="1672450"/>
            <a:ext cx="1832851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189238</xdr:colOff>
      <xdr:row>30</xdr:row>
      <xdr:rowOff>254000</xdr:rowOff>
    </xdr:from>
    <xdr:to>
      <xdr:col>4</xdr:col>
      <xdr:colOff>1937647</xdr:colOff>
      <xdr:row>30</xdr:row>
      <xdr:rowOff>254000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9772FED8-F49A-3315-6E81-39E9FFFB332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189238" y="11184890"/>
          <a:ext cx="8756904" cy="0"/>
          <a:chOff x="189238" y="1672450"/>
          <a:chExt cx="6661192" cy="0"/>
        </a:xfrm>
      </xdr:grpSpPr>
      <xdr:cxnSp macro="">
        <xdr:nvCxnSpPr>
          <xdr:cNvPr id="23" name="Conector Reto 22">
            <a:extLst>
              <a:ext uri="{FF2B5EF4-FFF2-40B4-BE49-F238E27FC236}">
                <a16:creationId xmlns:a16="http://schemas.microsoft.com/office/drawing/2014/main" id="{F62FC9C9-73B2-E88C-06FA-D4418EB83F6C}"/>
              </a:ext>
            </a:extLst>
          </xdr:cNvPr>
          <xdr:cNvCxnSpPr/>
        </xdr:nvCxnSpPr>
        <xdr:spPr>
          <a:xfrm>
            <a:off x="189238" y="1672450"/>
            <a:ext cx="182880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Conector Reto 23">
            <a:extLst>
              <a:ext uri="{FF2B5EF4-FFF2-40B4-BE49-F238E27FC236}">
                <a16:creationId xmlns:a16="http://schemas.microsoft.com/office/drawing/2014/main" id="{88F09877-14EE-361C-039E-E365DE022D2D}"/>
              </a:ext>
            </a:extLst>
          </xdr:cNvPr>
          <xdr:cNvCxnSpPr/>
        </xdr:nvCxnSpPr>
        <xdr:spPr>
          <a:xfrm>
            <a:off x="5017579" y="1672450"/>
            <a:ext cx="1832851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189238</xdr:colOff>
      <xdr:row>35</xdr:row>
      <xdr:rowOff>254000</xdr:rowOff>
    </xdr:from>
    <xdr:to>
      <xdr:col>4</xdr:col>
      <xdr:colOff>1937647</xdr:colOff>
      <xdr:row>35</xdr:row>
      <xdr:rowOff>254000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8424FFD1-D20D-5DDC-509D-4DE29B0F323A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189238" y="12994640"/>
          <a:ext cx="8756904" cy="0"/>
          <a:chOff x="189238" y="1672450"/>
          <a:chExt cx="6661192" cy="0"/>
        </a:xfrm>
      </xdr:grpSpPr>
      <xdr:cxnSp macro="">
        <xdr:nvCxnSpPr>
          <xdr:cNvPr id="26" name="Conector Reto 25">
            <a:extLst>
              <a:ext uri="{FF2B5EF4-FFF2-40B4-BE49-F238E27FC236}">
                <a16:creationId xmlns:a16="http://schemas.microsoft.com/office/drawing/2014/main" id="{1218C79E-B145-29AC-F420-6267C1CD1B81}"/>
              </a:ext>
            </a:extLst>
          </xdr:cNvPr>
          <xdr:cNvCxnSpPr/>
        </xdr:nvCxnSpPr>
        <xdr:spPr>
          <a:xfrm>
            <a:off x="189238" y="1672450"/>
            <a:ext cx="182880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Conector Reto 26">
            <a:extLst>
              <a:ext uri="{FF2B5EF4-FFF2-40B4-BE49-F238E27FC236}">
                <a16:creationId xmlns:a16="http://schemas.microsoft.com/office/drawing/2014/main" id="{B97C66F1-9F09-C6E7-0BDA-64228296292D}"/>
              </a:ext>
            </a:extLst>
          </xdr:cNvPr>
          <xdr:cNvCxnSpPr/>
        </xdr:nvCxnSpPr>
        <xdr:spPr>
          <a:xfrm>
            <a:off x="5017579" y="1672450"/>
            <a:ext cx="1832851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190921</xdr:colOff>
      <xdr:row>47</xdr:row>
      <xdr:rowOff>254000</xdr:rowOff>
    </xdr:from>
    <xdr:to>
      <xdr:col>5</xdr:col>
      <xdr:colOff>0</xdr:colOff>
      <xdr:row>47</xdr:row>
      <xdr:rowOff>254000</xdr:rowOff>
    </xdr:to>
    <xdr:grpSp>
      <xdr:nvGrpSpPr>
        <xdr:cNvPr id="28" name="Grupo 27">
          <a:extLst>
            <a:ext uri="{FF2B5EF4-FFF2-40B4-BE49-F238E27FC236}">
              <a16:creationId xmlns:a16="http://schemas.microsoft.com/office/drawing/2014/main" id="{0C9576A6-C469-B4E9-B5EA-E8226B87B166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190921" y="17071340"/>
          <a:ext cx="8819729" cy="0"/>
          <a:chOff x="189238" y="1672450"/>
          <a:chExt cx="6661192" cy="0"/>
        </a:xfrm>
      </xdr:grpSpPr>
      <xdr:cxnSp macro="">
        <xdr:nvCxnSpPr>
          <xdr:cNvPr id="29" name="Conector Reto 28">
            <a:extLst>
              <a:ext uri="{FF2B5EF4-FFF2-40B4-BE49-F238E27FC236}">
                <a16:creationId xmlns:a16="http://schemas.microsoft.com/office/drawing/2014/main" id="{C9EA084B-FD60-2C72-58AD-B170E93F1FAD}"/>
              </a:ext>
            </a:extLst>
          </xdr:cNvPr>
          <xdr:cNvCxnSpPr/>
        </xdr:nvCxnSpPr>
        <xdr:spPr>
          <a:xfrm>
            <a:off x="189238" y="1672450"/>
            <a:ext cx="182880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Conector Reto 29">
            <a:extLst>
              <a:ext uri="{FF2B5EF4-FFF2-40B4-BE49-F238E27FC236}">
                <a16:creationId xmlns:a16="http://schemas.microsoft.com/office/drawing/2014/main" id="{67F360C5-E023-B860-518E-066EE316E288}"/>
              </a:ext>
            </a:extLst>
          </xdr:cNvPr>
          <xdr:cNvCxnSpPr/>
        </xdr:nvCxnSpPr>
        <xdr:spPr>
          <a:xfrm>
            <a:off x="5017579" y="1672450"/>
            <a:ext cx="1832851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190921</xdr:colOff>
      <xdr:row>54</xdr:row>
      <xdr:rowOff>254000</xdr:rowOff>
    </xdr:from>
    <xdr:to>
      <xdr:col>5</xdr:col>
      <xdr:colOff>0</xdr:colOff>
      <xdr:row>54</xdr:row>
      <xdr:rowOff>254000</xdr:rowOff>
    </xdr:to>
    <xdr:grpSp>
      <xdr:nvGrpSpPr>
        <xdr:cNvPr id="31" name="Grupo 30">
          <a:extLst>
            <a:ext uri="{FF2B5EF4-FFF2-40B4-BE49-F238E27FC236}">
              <a16:creationId xmlns:a16="http://schemas.microsoft.com/office/drawing/2014/main" id="{37B70B68-3AC0-F37A-3E08-831DE0348BEC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190921" y="19528790"/>
          <a:ext cx="8819729" cy="0"/>
          <a:chOff x="189238" y="1672450"/>
          <a:chExt cx="6661192" cy="0"/>
        </a:xfrm>
      </xdr:grpSpPr>
      <xdr:cxnSp macro="">
        <xdr:nvCxnSpPr>
          <xdr:cNvPr id="32" name="Conector Reto 31">
            <a:extLst>
              <a:ext uri="{FF2B5EF4-FFF2-40B4-BE49-F238E27FC236}">
                <a16:creationId xmlns:a16="http://schemas.microsoft.com/office/drawing/2014/main" id="{9FF74893-4501-AAD8-CACB-BBC2DB4C1F91}"/>
              </a:ext>
            </a:extLst>
          </xdr:cNvPr>
          <xdr:cNvCxnSpPr/>
        </xdr:nvCxnSpPr>
        <xdr:spPr>
          <a:xfrm>
            <a:off x="189238" y="1672450"/>
            <a:ext cx="182880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Conector Reto 32">
            <a:extLst>
              <a:ext uri="{FF2B5EF4-FFF2-40B4-BE49-F238E27FC236}">
                <a16:creationId xmlns:a16="http://schemas.microsoft.com/office/drawing/2014/main" id="{87639BA2-3BAD-C3C9-6EB5-42C5548328CB}"/>
              </a:ext>
            </a:extLst>
          </xdr:cNvPr>
          <xdr:cNvCxnSpPr/>
        </xdr:nvCxnSpPr>
        <xdr:spPr>
          <a:xfrm>
            <a:off x="5017579" y="1672450"/>
            <a:ext cx="1832851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190921</xdr:colOff>
      <xdr:row>63</xdr:row>
      <xdr:rowOff>193040</xdr:rowOff>
    </xdr:from>
    <xdr:to>
      <xdr:col>5</xdr:col>
      <xdr:colOff>0</xdr:colOff>
      <xdr:row>63</xdr:row>
      <xdr:rowOff>193040</xdr:rowOff>
    </xdr:to>
    <xdr:grpSp>
      <xdr:nvGrpSpPr>
        <xdr:cNvPr id="34" name="Grupo 33">
          <a:extLst>
            <a:ext uri="{FF2B5EF4-FFF2-40B4-BE49-F238E27FC236}">
              <a16:creationId xmlns:a16="http://schemas.microsoft.com/office/drawing/2014/main" id="{44808DAA-3FBA-338D-B1FD-3942E0A0521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190921" y="22576790"/>
          <a:ext cx="8819729" cy="0"/>
          <a:chOff x="189238" y="1672450"/>
          <a:chExt cx="6661192" cy="0"/>
        </a:xfrm>
      </xdr:grpSpPr>
      <xdr:cxnSp macro="">
        <xdr:nvCxnSpPr>
          <xdr:cNvPr id="35" name="Conector Reto 34">
            <a:extLst>
              <a:ext uri="{FF2B5EF4-FFF2-40B4-BE49-F238E27FC236}">
                <a16:creationId xmlns:a16="http://schemas.microsoft.com/office/drawing/2014/main" id="{5ECC78F8-E4E4-0571-C705-913DD7B81B20}"/>
              </a:ext>
            </a:extLst>
          </xdr:cNvPr>
          <xdr:cNvCxnSpPr/>
        </xdr:nvCxnSpPr>
        <xdr:spPr>
          <a:xfrm>
            <a:off x="189238" y="1672450"/>
            <a:ext cx="182880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Conector Reto 35">
            <a:extLst>
              <a:ext uri="{FF2B5EF4-FFF2-40B4-BE49-F238E27FC236}">
                <a16:creationId xmlns:a16="http://schemas.microsoft.com/office/drawing/2014/main" id="{82259926-5F82-36C8-234D-E1D455D7C7C6}"/>
              </a:ext>
            </a:extLst>
          </xdr:cNvPr>
          <xdr:cNvCxnSpPr/>
        </xdr:nvCxnSpPr>
        <xdr:spPr>
          <a:xfrm>
            <a:off x="5017579" y="1672450"/>
            <a:ext cx="1832851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190921</xdr:colOff>
      <xdr:row>71</xdr:row>
      <xdr:rowOff>233680</xdr:rowOff>
    </xdr:from>
    <xdr:to>
      <xdr:col>5</xdr:col>
      <xdr:colOff>0</xdr:colOff>
      <xdr:row>71</xdr:row>
      <xdr:rowOff>233680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04B40818-07D7-FD07-1E25-D4F74B9804C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190921" y="25267285"/>
          <a:ext cx="8819729" cy="0"/>
          <a:chOff x="189238" y="1672450"/>
          <a:chExt cx="6661192" cy="0"/>
        </a:xfrm>
      </xdr:grpSpPr>
      <xdr:cxnSp macro="">
        <xdr:nvCxnSpPr>
          <xdr:cNvPr id="38" name="Conector Reto 37">
            <a:extLst>
              <a:ext uri="{FF2B5EF4-FFF2-40B4-BE49-F238E27FC236}">
                <a16:creationId xmlns:a16="http://schemas.microsoft.com/office/drawing/2014/main" id="{3BD23FBE-CA36-0C38-54E9-8138383D4F2F}"/>
              </a:ext>
            </a:extLst>
          </xdr:cNvPr>
          <xdr:cNvCxnSpPr/>
        </xdr:nvCxnSpPr>
        <xdr:spPr>
          <a:xfrm>
            <a:off x="189238" y="1672450"/>
            <a:ext cx="182880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Conector Reto 38">
            <a:extLst>
              <a:ext uri="{FF2B5EF4-FFF2-40B4-BE49-F238E27FC236}">
                <a16:creationId xmlns:a16="http://schemas.microsoft.com/office/drawing/2014/main" id="{DC674F07-2577-115A-F47E-2464C5F9E040}"/>
              </a:ext>
            </a:extLst>
          </xdr:cNvPr>
          <xdr:cNvCxnSpPr/>
        </xdr:nvCxnSpPr>
        <xdr:spPr>
          <a:xfrm>
            <a:off x="5017579" y="1672450"/>
            <a:ext cx="1832851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190921</xdr:colOff>
      <xdr:row>79</xdr:row>
      <xdr:rowOff>254000</xdr:rowOff>
    </xdr:from>
    <xdr:to>
      <xdr:col>5</xdr:col>
      <xdr:colOff>0</xdr:colOff>
      <xdr:row>79</xdr:row>
      <xdr:rowOff>254000</xdr:rowOff>
    </xdr:to>
    <xdr:grpSp>
      <xdr:nvGrpSpPr>
        <xdr:cNvPr id="40" name="Grupo 39">
          <a:extLst>
            <a:ext uri="{FF2B5EF4-FFF2-40B4-BE49-F238E27FC236}">
              <a16:creationId xmlns:a16="http://schemas.microsoft.com/office/drawing/2014/main" id="{1F89CA11-E79B-3D00-C3FB-F920BF1E92D6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190921" y="28063190"/>
          <a:ext cx="8819729" cy="0"/>
          <a:chOff x="189238" y="1672450"/>
          <a:chExt cx="6661192" cy="0"/>
        </a:xfrm>
      </xdr:grpSpPr>
      <xdr:cxnSp macro="">
        <xdr:nvCxnSpPr>
          <xdr:cNvPr id="41" name="Conector Reto 40">
            <a:extLst>
              <a:ext uri="{FF2B5EF4-FFF2-40B4-BE49-F238E27FC236}">
                <a16:creationId xmlns:a16="http://schemas.microsoft.com/office/drawing/2014/main" id="{32ECD42E-B3D3-FFCD-6BC1-220801F4695E}"/>
              </a:ext>
            </a:extLst>
          </xdr:cNvPr>
          <xdr:cNvCxnSpPr/>
        </xdr:nvCxnSpPr>
        <xdr:spPr>
          <a:xfrm>
            <a:off x="189238" y="1672450"/>
            <a:ext cx="182880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Conector Reto 41">
            <a:extLst>
              <a:ext uri="{FF2B5EF4-FFF2-40B4-BE49-F238E27FC236}">
                <a16:creationId xmlns:a16="http://schemas.microsoft.com/office/drawing/2014/main" id="{7BF49774-E6CB-9CC1-56B3-4C6EF6653749}"/>
              </a:ext>
            </a:extLst>
          </xdr:cNvPr>
          <xdr:cNvCxnSpPr/>
        </xdr:nvCxnSpPr>
        <xdr:spPr>
          <a:xfrm>
            <a:off x="5017579" y="1672450"/>
            <a:ext cx="1832851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190921</xdr:colOff>
      <xdr:row>85</xdr:row>
      <xdr:rowOff>254000</xdr:rowOff>
    </xdr:from>
    <xdr:to>
      <xdr:col>5</xdr:col>
      <xdr:colOff>0</xdr:colOff>
      <xdr:row>85</xdr:row>
      <xdr:rowOff>254000</xdr:rowOff>
    </xdr:to>
    <xdr:grpSp>
      <xdr:nvGrpSpPr>
        <xdr:cNvPr id="43" name="Grupo 42">
          <a:extLst>
            <a:ext uri="{FF2B5EF4-FFF2-40B4-BE49-F238E27FC236}">
              <a16:creationId xmlns:a16="http://schemas.microsoft.com/office/drawing/2014/main" id="{4C7257A4-D885-B657-D7DF-D6F2C3921226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190921" y="30196790"/>
          <a:ext cx="8819729" cy="0"/>
          <a:chOff x="189238" y="1672450"/>
          <a:chExt cx="6661192" cy="0"/>
        </a:xfrm>
      </xdr:grpSpPr>
      <xdr:cxnSp macro="">
        <xdr:nvCxnSpPr>
          <xdr:cNvPr id="44" name="Conector Reto 43">
            <a:extLst>
              <a:ext uri="{FF2B5EF4-FFF2-40B4-BE49-F238E27FC236}">
                <a16:creationId xmlns:a16="http://schemas.microsoft.com/office/drawing/2014/main" id="{724CE319-117F-1BA2-618B-119D9E6CEBFC}"/>
              </a:ext>
            </a:extLst>
          </xdr:cNvPr>
          <xdr:cNvCxnSpPr/>
        </xdr:nvCxnSpPr>
        <xdr:spPr>
          <a:xfrm>
            <a:off x="189238" y="1672450"/>
            <a:ext cx="182880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Conector Reto 44">
            <a:extLst>
              <a:ext uri="{FF2B5EF4-FFF2-40B4-BE49-F238E27FC236}">
                <a16:creationId xmlns:a16="http://schemas.microsoft.com/office/drawing/2014/main" id="{711DD844-3736-1FDD-29DD-D32113C6E050}"/>
              </a:ext>
            </a:extLst>
          </xdr:cNvPr>
          <xdr:cNvCxnSpPr/>
        </xdr:nvCxnSpPr>
        <xdr:spPr>
          <a:xfrm>
            <a:off x="5017579" y="1672450"/>
            <a:ext cx="1832851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0000000}" name="ResumoDoOrçamento" displayName="ResumoDoOrçamento" ref="B5:E16" totalsRowCount="1" headerRowDxfId="120" dataDxfId="119" totalsRowDxfId="118">
  <autoFilter ref="B5:E15" xr:uid="{00000000-0009-0000-0100-00000B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CATEGORIA" totalsRowLabel="Despesas totais" dataDxfId="117" totalsRowDxfId="116"/>
    <tableColumn id="2" xr3:uid="{00000000-0010-0000-0000-000002000000}" name="ESTIMADO" totalsRowFunction="sum" dataDxfId="115" totalsRowDxfId="114"/>
    <tableColumn id="3" xr3:uid="{00000000-0010-0000-0000-000003000000}" name="REAL" totalsRowFunction="sum" dataDxfId="113" totalsRowDxfId="112"/>
    <tableColumn id="4" xr3:uid="{00000000-0010-0000-0000-000004000000}" name="ACIMA/ABAIXO" totalsRowFunction="sum" dataDxfId="111" totalsRowDxfId="110">
      <calculatedColumnFormula>ResumoDoOrçamento[[#This Row],[ESTIMADO]]-ResumoDoOrçamento[[#This Row],[REAL]]</calculatedColumnFormula>
    </tableColumn>
  </tableColumns>
  <tableStyleInfo name="Estilo de Tabela 1" showFirstColumn="0" showLastColumn="0" showRowStripes="0" showColumnStripes="0"/>
  <extLst>
    <ext xmlns:x14="http://schemas.microsoft.com/office/spreadsheetml/2009/9/main" uri="{504A1905-F514-4f6f-8877-14C23A59335A}">
      <x14:table altTextSummary="A categoria, os valores Acima ou Abaixo e o custo real e estimado com bar são atualizados automaticamente nesta tabela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1000000}" name="Vestuário" displayName="Vestuário" ref="B4:E18" totalsRowCount="1" headerRowDxfId="109" dataDxfId="108" totalsRowDxfId="107">
  <autoFilter ref="B4:E17" xr:uid="{00000000-0009-0000-0100-00000C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CATEGORIA" totalsRowLabel="Total das roupas" dataDxfId="106" totalsRowDxfId="105"/>
    <tableColumn id="2" xr3:uid="{00000000-0010-0000-0100-000002000000}" name="ESTIMADO" totalsRowFunction="sum" dataDxfId="104" totalsRowDxfId="103"/>
    <tableColumn id="3" xr3:uid="{00000000-0010-0000-0100-000003000000}" name="REAL" totalsRowFunction="sum" dataDxfId="102" totalsRowDxfId="101"/>
    <tableColumn id="4" xr3:uid="{00000000-0010-0000-0100-000004000000}" name="ACIMA/ABAIXO/RESTANTE" totalsRowFunction="sum" dataDxfId="100" totalsRowDxfId="99">
      <calculatedColumnFormula>Despesas!$C5-Despesas!$D5</calculatedColumnFormula>
    </tableColumn>
  </tableColumns>
  <tableStyleInfo name="Estilo de Tabela 1" showFirstColumn="1" showLastColumn="0" showRowStripes="1" showColumnStripes="0"/>
  <extLst>
    <ext xmlns:x14="http://schemas.microsoft.com/office/spreadsheetml/2009/9/main" uri="{504A1905-F514-4f6f-8877-14C23A59335A}">
      <x14:table altTextSummary="Insira o item Categoria e Custos de Vestuário Estimados e Reais nesta tabela. O Valor Superior ou Inferior e o Total são calculados automaticamente e o ícone é atualizado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2000000}" name="Recepção" displayName="Recepção" ref="B20:E29" totalsRowCount="1" headerRowDxfId="98" dataDxfId="97" totalsRowDxfId="96">
  <autoFilter ref="B20:E28" xr:uid="{00000000-0009-0000-0100-00000D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CATEGORIA" totalsRowLabel="Total da festa" dataDxfId="95" totalsRowDxfId="94"/>
    <tableColumn id="2" xr3:uid="{00000000-0010-0000-0200-000002000000}" name="ESTIMADO" totalsRowFunction="sum" dataDxfId="93" totalsRowDxfId="92"/>
    <tableColumn id="3" xr3:uid="{00000000-0010-0000-0200-000003000000}" name="REAL" totalsRowFunction="sum" dataDxfId="91" totalsRowDxfId="90"/>
    <tableColumn id="4" xr3:uid="{00000000-0010-0000-0200-000004000000}" name="ACIMA/ABAIXO/RESTANTE" totalsRowFunction="sum" dataDxfId="89" totalsRowDxfId="88">
      <calculatedColumnFormula>Despesas!$C21-Despesas!$D21</calculatedColumnFormula>
    </tableColumn>
  </tableColumns>
  <tableStyleInfo name="Estilo de Tabela 1" showFirstColumn="1" showLastColumn="0" showRowStripes="1" showColumnStripes="0"/>
  <extLst>
    <ext xmlns:x14="http://schemas.microsoft.com/office/spreadsheetml/2009/9/main" uri="{504A1905-F514-4f6f-8877-14C23A59335A}">
      <x14:table altTextSummary="Insira o item Categoria e os Custos de Recepção Estimados e Reais, excluindo os custos de Entretenimento e Decorações, nesta tabela. O Valor Superior ou Inferior e o Total são calculados automaticamente e o ícone é atualizado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3000000}" name="Música" displayName="Música" ref="B32:E35" totalsRowCount="1" headerRowDxfId="87" dataDxfId="86" totalsRowDxfId="85">
  <autoFilter ref="B32:E34" xr:uid="{00000000-0009-0000-0100-00000E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300-000001000000}" name="CATEGORIA" totalsRowLabel="Total de música/entretenimento" dataDxfId="84" totalsRowDxfId="83"/>
    <tableColumn id="2" xr3:uid="{00000000-0010-0000-0300-000002000000}" name="ESTIMADO" totalsRowFunction="sum" dataDxfId="82" totalsRowDxfId="81"/>
    <tableColumn id="3" xr3:uid="{00000000-0010-0000-0300-000003000000}" name="REAL" totalsRowFunction="sum" dataDxfId="80" totalsRowDxfId="79"/>
    <tableColumn id="4" xr3:uid="{00000000-0010-0000-0300-000004000000}" name="ACIMA/ABAIXO/RESTANTE" totalsRowFunction="sum" dataDxfId="78" totalsRowDxfId="77">
      <calculatedColumnFormula>Despesas!$C33-Despesas!$D33</calculatedColumnFormula>
    </tableColumn>
  </tableColumns>
  <tableStyleInfo name="Estilo de Tabela 1" showFirstColumn="1" showLastColumn="0" showRowStripes="1" showColumnStripes="0"/>
  <extLst>
    <ext xmlns:x14="http://schemas.microsoft.com/office/spreadsheetml/2009/9/main" uri="{504A1905-F514-4f6f-8877-14C23A59335A}">
      <x14:table altTextSummary="Insira o item Categoria e Custos Estimados e Reais de Música e Entretenimento nesta tabela. O Valor Superior ou Inferior e o Total são calculados automaticamente e o ícone é atualizado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4000000}" name="Impressão" displayName="Impressão" ref="B37:E47" totalsRowCount="1" headerRowDxfId="76" dataDxfId="75" totalsRowDxfId="74">
  <autoFilter ref="B37:E46" xr:uid="{00000000-0009-0000-0100-00000F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400-000001000000}" name="CATEGORIA" totalsRowLabel="Total de impressões/papelaria" dataDxfId="73" totalsRowDxfId="72"/>
    <tableColumn id="2" xr3:uid="{00000000-0010-0000-0400-000002000000}" name="ESTIMADO" totalsRowFunction="sum" dataDxfId="71" totalsRowDxfId="70"/>
    <tableColumn id="3" xr3:uid="{00000000-0010-0000-0400-000003000000}" name="REAL" totalsRowFunction="sum" dataDxfId="69" totalsRowDxfId="68"/>
    <tableColumn id="4" xr3:uid="{00000000-0010-0000-0400-000004000000}" name="ACIMA/ABAIXO/RESTANTE" totalsRowFunction="sum" dataDxfId="67" totalsRowDxfId="66">
      <calculatedColumnFormula>Despesas!$C38-Despesas!$D38</calculatedColumnFormula>
    </tableColumn>
  </tableColumns>
  <tableStyleInfo name="Estilo de Tabela 1" showFirstColumn="1" showLastColumn="0" showRowStripes="1" showColumnStripes="0"/>
  <extLst>
    <ext xmlns:x14="http://schemas.microsoft.com/office/spreadsheetml/2009/9/main" uri="{504A1905-F514-4f6f-8877-14C23A59335A}">
      <x14:table altTextSummary="Insira o item Categoria e Custos Estimados e Reais de Impressão e Papelaria nesta tabela. O Valor Superior ou Inferior e o Total são calculados automaticamente e o ícone é atualizado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Fotografia" displayName="Fotografia" ref="B49:E54" totalsRowCount="1" headerRowDxfId="65" dataDxfId="64" totalsRowDxfId="63">
  <autoFilter ref="B49:E53" xr:uid="{00000000-0009-0000-0100-000010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500-000001000000}" name="CATEGORIA" totalsRowLabel="Total de fotografia" dataDxfId="62" totalsRowDxfId="61"/>
    <tableColumn id="2" xr3:uid="{00000000-0010-0000-0500-000002000000}" name="ESTIMADO" totalsRowFunction="sum" dataDxfId="60" totalsRowDxfId="59"/>
    <tableColumn id="3" xr3:uid="{00000000-0010-0000-0500-000003000000}" name="REAL" totalsRowFunction="sum" dataDxfId="58" totalsRowDxfId="57"/>
    <tableColumn id="4" xr3:uid="{00000000-0010-0000-0500-000004000000}" name="ACIMA/ABAIXO/RESTANTE" totalsRowFunction="sum" dataDxfId="56" totalsRowDxfId="55">
      <calculatedColumnFormula>Despesas!$C50-Despesas!$D50</calculatedColumnFormula>
    </tableColumn>
  </tableColumns>
  <tableStyleInfo name="Estilo de Tabela 1" showFirstColumn="1" showLastColumn="0" showRowStripes="1" showColumnStripes="0"/>
  <extLst>
    <ext xmlns:x14="http://schemas.microsoft.com/office/spreadsheetml/2009/9/main" uri="{504A1905-F514-4f6f-8877-14C23A59335A}">
      <x14:table altTextSummary="Insira o item Categoria e Custos de Fotografia Estimados e Reais nesta tabela. O Valor Superior ou Inferior e o Total são calculados automaticamente e o ícone é atualizado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6000000}" name="Decorações" displayName="Decorações" ref="B56:E62" totalsRowCount="1" headerRowDxfId="54" dataDxfId="53" totalsRowDxfId="52">
  <autoFilter ref="B56:E61" xr:uid="{00000000-0009-0000-0100-000011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600-000001000000}" name="CATEGORIA" totalsRowLabel="Total de decoração" dataDxfId="51" totalsRowDxfId="3"/>
    <tableColumn id="2" xr3:uid="{00000000-0010-0000-0600-000002000000}" name="ESTIMADO" totalsRowFunction="sum" dataDxfId="50" totalsRowDxfId="2"/>
    <tableColumn id="3" xr3:uid="{00000000-0010-0000-0600-000003000000}" name="REAL" totalsRowFunction="sum" dataDxfId="49" totalsRowDxfId="1"/>
    <tableColumn id="4" xr3:uid="{00000000-0010-0000-0600-000004000000}" name="ACIMA/ABAIXO/RESTANTE" totalsRowFunction="sum" dataDxfId="48" totalsRowDxfId="0">
      <calculatedColumnFormula>Despesas!$C57-Despesas!$D57</calculatedColumnFormula>
    </tableColumn>
  </tableColumns>
  <tableStyleInfo name="Estilo de Tabela 1" showFirstColumn="1" showLastColumn="0" showRowStripes="1" showColumnStripes="0"/>
  <extLst>
    <ext xmlns:x14="http://schemas.microsoft.com/office/spreadsheetml/2009/9/main" uri="{504A1905-F514-4f6f-8877-14C23A59335A}">
      <x14:table altTextSummary="Insira o item da categoria e os custos estimados e reais das decorações, excluindo os custos das flores nesta tabela. O Valor Superior ou Inferior e o Total são calculados automaticamente e o ícone é atualizado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7000000}" name="Flores" displayName="Flores" ref="B65:E71" totalsRowCount="1" headerRowDxfId="47" dataDxfId="46" totalsRowDxfId="45">
  <autoFilter ref="B65:E70" xr:uid="{00000000-0009-0000-0100-00001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700-000001000000}" name="CATEGORIA" totalsRowLabel="Total de flores" dataDxfId="44" totalsRowDxfId="43"/>
    <tableColumn id="2" xr3:uid="{00000000-0010-0000-0700-000002000000}" name="ESTIMADO" totalsRowFunction="sum" dataDxfId="42" totalsRowDxfId="41"/>
    <tableColumn id="3" xr3:uid="{00000000-0010-0000-0700-000003000000}" name="REAL" totalsRowFunction="sum" dataDxfId="40" totalsRowDxfId="39"/>
    <tableColumn id="4" xr3:uid="{00000000-0010-0000-0700-000004000000}" name="ACIMA/ABAIXO/RESTANTE" totalsRowFunction="sum" dataDxfId="38" totalsRowDxfId="37">
      <calculatedColumnFormula>Despesas!$C66-Despesas!$D66</calculatedColumnFormula>
    </tableColumn>
  </tableColumns>
  <tableStyleInfo name="Estilo de Tabela 1" showFirstColumn="1" showLastColumn="0" showRowStripes="1" showColumnStripes="0"/>
  <extLst>
    <ext xmlns:x14="http://schemas.microsoft.com/office/spreadsheetml/2009/9/main" uri="{504A1905-F514-4f6f-8877-14C23A59335A}">
      <x14:table altTextSummary="Insira o item Categoria e os custos Estimados e Reais de Flores nesta tabela. O Valor Superior ou Inferior e o Total são calculados automaticamente e o ícone é atualizado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8000000}" name="Presentes" displayName="Presentes" ref="B73:E79" totalsRowCount="1" headerRowDxfId="36" dataDxfId="35" totalsRowDxfId="34">
  <autoFilter ref="B73:E78" xr:uid="{00000000-0009-0000-0100-00001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800-000001000000}" name="CATEGORIA" totalsRowLabel="Total de presentes" dataDxfId="33" totalsRowDxfId="32"/>
    <tableColumn id="2" xr3:uid="{00000000-0010-0000-0800-000002000000}" name="ESTIMADO" totalsRowFunction="sum" dataDxfId="31" totalsRowDxfId="30"/>
    <tableColumn id="3" xr3:uid="{00000000-0010-0000-0800-000003000000}" name="REAL" totalsRowFunction="sum" dataDxfId="29" totalsRowDxfId="28"/>
    <tableColumn id="4" xr3:uid="{00000000-0010-0000-0800-000004000000}" name="ACIMA/ABAIXO/RESTANTE" totalsRowFunction="sum" dataDxfId="27" totalsRowDxfId="26">
      <calculatedColumnFormula>Despesas!$C74-Despesas!$D74</calculatedColumnFormula>
    </tableColumn>
  </tableColumns>
  <tableStyleInfo name="Estilo de Tabela 1" showFirstColumn="1" showLastColumn="0" showRowStripes="1" showColumnStripes="0"/>
  <extLst>
    <ext xmlns:x14="http://schemas.microsoft.com/office/spreadsheetml/2009/9/main" uri="{504A1905-F514-4f6f-8877-14C23A59335A}">
      <x14:table altTextSummary="Insira o item Categoria e Custos de Presentes Estimados e Reais nesta tabela. O Valor Superior ou Inferior e o Total são calculados automaticamente e o ícone é atualizado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iagem" displayName="Viagem" ref="B81:E85" totalsRowCount="1" headerRowDxfId="25" dataDxfId="24" totalsRowDxfId="23">
  <autoFilter ref="B81:E84" xr:uid="{00000000-0009-0000-0100-000014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900-000001000000}" name="CATEGORIA" totalsRowLabel="Total de viagens/transporte" dataDxfId="22" totalsRowDxfId="21"/>
    <tableColumn id="2" xr3:uid="{00000000-0010-0000-0900-000002000000}" name="ESTIMADO" totalsRowFunction="sum" dataDxfId="20" totalsRowDxfId="19"/>
    <tableColumn id="3" xr3:uid="{00000000-0010-0000-0900-000003000000}" name="REAL" totalsRowFunction="sum" dataDxfId="18" totalsRowDxfId="17"/>
    <tableColumn id="4" xr3:uid="{00000000-0010-0000-0900-000004000000}" name="ACIMA/ABAIXO/RESTANTE" totalsRowFunction="sum" dataDxfId="16" totalsRowDxfId="15">
      <calculatedColumnFormula>Despesas!$C82-Despesas!$D82</calculatedColumnFormula>
    </tableColumn>
  </tableColumns>
  <tableStyleInfo name="Estilo de Tabela 1" showFirstColumn="1" showLastColumn="0" showRowStripes="1" showColumnStripes="0"/>
  <extLst>
    <ext xmlns:x14="http://schemas.microsoft.com/office/spreadsheetml/2009/9/main" uri="{504A1905-F514-4f6f-8877-14C23A59335A}">
      <x14:table altTextSummary="Insira o item Categoria e Custos de Viagem e Transporte Estimados e Reais nesta tabela. O Valor Superior ou Inferior e o Total são calculados automaticamente e o ícone é atualizado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OutrasDespesas" displayName="OutrasDespesas" ref="B87:E98" totalsRowCount="1" headerRowDxfId="14" dataDxfId="13" totalsRowDxfId="12">
  <autoFilter ref="B87:E97" xr:uid="{00000000-0009-0000-0100-000015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A00-000001000000}" name="CATEGORIA" totalsRowLabel="Total de outras despesas" dataDxfId="11" totalsRowDxfId="10"/>
    <tableColumn id="2" xr3:uid="{00000000-0010-0000-0A00-000002000000}" name="ESTIMADO" totalsRowFunction="sum" dataDxfId="9" totalsRowDxfId="8"/>
    <tableColumn id="3" xr3:uid="{00000000-0010-0000-0A00-000003000000}" name="REAL" totalsRowFunction="sum" dataDxfId="7" totalsRowDxfId="6"/>
    <tableColumn id="4" xr3:uid="{00000000-0010-0000-0A00-000004000000}" name="ACIMA/ABAIXO/RESTANTE" totalsRowFunction="sum" dataDxfId="5" totalsRowDxfId="4">
      <calculatedColumnFormula>Despesas!$C88-Despesas!$D88</calculatedColumnFormula>
    </tableColumn>
  </tableColumns>
  <tableStyleInfo name="Estilo de Tabela 1" showFirstColumn="1" showLastColumn="0" showRowStripes="1" showColumnStripes="0"/>
  <extLst>
    <ext xmlns:x14="http://schemas.microsoft.com/office/spreadsheetml/2009/9/main" uri="{504A1905-F514-4f6f-8877-14C23A59335A}">
      <x14:table altTextSummary="Insira o item Categoria e Outras Despesas Estimadas e Reais nesta tabela. O Valor Superior ou Inferior e o Total são calculados automaticamente e o ícone é atualizado"/>
    </ext>
  </extLst>
</table>
</file>

<file path=xl/theme/theme1.xml><?xml version="1.0" encoding="utf-8"?>
<a:theme xmlns:a="http://schemas.openxmlformats.org/drawingml/2006/main" name="Wedding">
  <a:themeElements>
    <a:clrScheme name="Purple wedding 3">
      <a:dk1>
        <a:srgbClr val="000000"/>
      </a:dk1>
      <a:lt1>
        <a:srgbClr val="FFFFFF"/>
      </a:lt1>
      <a:dk2>
        <a:srgbClr val="F8F6FB"/>
      </a:dk2>
      <a:lt2>
        <a:srgbClr val="E7E6E6"/>
      </a:lt2>
      <a:accent1>
        <a:srgbClr val="C3BBDC"/>
      </a:accent1>
      <a:accent2>
        <a:srgbClr val="9BA8BB"/>
      </a:accent2>
      <a:accent3>
        <a:srgbClr val="E1C7B2"/>
      </a:accent3>
      <a:accent4>
        <a:srgbClr val="E7ECF3"/>
      </a:accent4>
      <a:accent5>
        <a:srgbClr val="CBE6D5"/>
      </a:accent5>
      <a:accent6>
        <a:srgbClr val="F1BAB8"/>
      </a:accent6>
      <a:hlink>
        <a:srgbClr val="0563C1"/>
      </a:hlink>
      <a:folHlink>
        <a:srgbClr val="954F72"/>
      </a:folHlink>
    </a:clrScheme>
    <a:fontScheme name="Custom 56">
      <a:majorFont>
        <a:latin typeface="Fairwater Script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9.9978637043366805E-2"/>
    <pageSetUpPr autoPageBreaks="0" fitToPage="1"/>
  </sheetPr>
  <dimension ref="A1:E34"/>
  <sheetViews>
    <sheetView showGridLines="0" topLeftCell="A4" zoomScaleNormal="100" zoomScaleSheetLayoutView="50" workbookViewId="0">
      <selection activeCell="C7" sqref="C7"/>
    </sheetView>
  </sheetViews>
  <sheetFormatPr defaultColWidth="9" defaultRowHeight="13.2"/>
  <cols>
    <col min="1" max="1" width="3" style="6" customWidth="1"/>
    <col min="2" max="2" width="41.109375" customWidth="1"/>
    <col min="3" max="5" width="29.109375" style="2" customWidth="1"/>
    <col min="6" max="6" width="3" customWidth="1"/>
  </cols>
  <sheetData>
    <row r="1" spans="1:5" ht="16.2" customHeight="1">
      <c r="B1" s="39"/>
      <c r="C1" s="39"/>
      <c r="D1" s="39"/>
      <c r="E1" s="39"/>
    </row>
    <row r="2" spans="1:5" ht="100.2" customHeight="1">
      <c r="A2" s="3"/>
      <c r="B2" s="38" t="s">
        <v>0</v>
      </c>
      <c r="C2" s="38"/>
      <c r="D2" s="38"/>
      <c r="E2" s="38"/>
    </row>
    <row r="3" spans="1:5" ht="28.2" customHeight="1">
      <c r="B3" s="41" t="s">
        <v>1</v>
      </c>
      <c r="C3" s="41"/>
      <c r="D3" s="42" t="s">
        <v>13</v>
      </c>
      <c r="E3" s="42"/>
    </row>
    <row r="4" spans="1:5" ht="28.2" customHeight="1">
      <c r="B4" s="40">
        <f ca="1">TODAY()+365</f>
        <v>46414</v>
      </c>
      <c r="C4" s="40"/>
      <c r="D4" s="43">
        <f ca="1">B4-TODAY()</f>
        <v>365</v>
      </c>
      <c r="E4" s="44"/>
    </row>
    <row r="5" spans="1:5" s="1" customFormat="1" ht="25.95" customHeight="1">
      <c r="A5" s="4"/>
      <c r="B5" s="24" t="s">
        <v>2</v>
      </c>
      <c r="C5" s="36" t="s">
        <v>12</v>
      </c>
      <c r="D5" s="36" t="s">
        <v>14</v>
      </c>
      <c r="E5" s="36" t="s">
        <v>15</v>
      </c>
    </row>
    <row r="6" spans="1:5" s="1" customFormat="1" ht="25.95" customHeight="1">
      <c r="A6" s="5"/>
      <c r="B6" s="25" t="s">
        <v>101</v>
      </c>
      <c r="C6" s="27">
        <f>Total_de_Roupas_est</f>
        <v>15000</v>
      </c>
      <c r="D6" s="27">
        <f>Total_de_Roupas_real</f>
        <v>1500</v>
      </c>
      <c r="E6" s="27">
        <f>ResumoDoOrçamento[[#This Row],[ESTIMADO]]-ResumoDoOrçamento[[#This Row],[REAL]]</f>
        <v>13500</v>
      </c>
    </row>
    <row r="7" spans="1:5" ht="25.95" customHeight="1">
      <c r="B7" s="25" t="s">
        <v>74</v>
      </c>
      <c r="C7" s="27">
        <f>Total_da_Festa_est</f>
        <v>15750</v>
      </c>
      <c r="D7" s="27">
        <f>Total_da_Festa_real</f>
        <v>0</v>
      </c>
      <c r="E7" s="27">
        <f>ResumoDoOrçamento[[#This Row],[ESTIMADO]]-ResumoDoOrçamento[[#This Row],[REAL]]</f>
        <v>15750</v>
      </c>
    </row>
    <row r="8" spans="1:5" ht="25.95" customHeight="1">
      <c r="B8" s="25" t="s">
        <v>3</v>
      </c>
      <c r="C8" s="27">
        <f>Total_de_Música_entretenimento_est</f>
        <v>0</v>
      </c>
      <c r="D8" s="27">
        <f>Total_de_Música_entretenimento_real</f>
        <v>400</v>
      </c>
      <c r="E8" s="27">
        <f>ResumoDoOrçamento[[#This Row],[ESTIMADO]]-ResumoDoOrçamento[[#This Row],[REAL]]</f>
        <v>-400</v>
      </c>
    </row>
    <row r="9" spans="1:5" ht="25.95" customHeight="1">
      <c r="B9" s="25" t="s">
        <v>4</v>
      </c>
      <c r="C9" s="27">
        <f>Total_de_Impressão_gráfica_est</f>
        <v>0</v>
      </c>
      <c r="D9" s="27">
        <f>Total_de_Impressão_gráfica_real</f>
        <v>870</v>
      </c>
      <c r="E9" s="27">
        <f>ResumoDoOrçamento[[#This Row],[ESTIMADO]]-ResumoDoOrçamento[[#This Row],[REAL]]</f>
        <v>-870</v>
      </c>
    </row>
    <row r="10" spans="1:5" ht="25.95" customHeight="1">
      <c r="B10" s="25" t="s">
        <v>5</v>
      </c>
      <c r="C10" s="27">
        <f>Total_de_Fotografia_est</f>
        <v>1625</v>
      </c>
      <c r="D10" s="27">
        <f>Total_de_Fotografia_real</f>
        <v>1575</v>
      </c>
      <c r="E10" s="27">
        <f>ResumoDoOrçamento[[#This Row],[ESTIMADO]]-ResumoDoOrçamento[[#This Row],[REAL]]</f>
        <v>50</v>
      </c>
    </row>
    <row r="11" spans="1:5" ht="25.95" customHeight="1">
      <c r="B11" s="25" t="s">
        <v>6</v>
      </c>
      <c r="C11" s="27">
        <f>Total_de_Decoração_est</f>
        <v>25000</v>
      </c>
      <c r="D11" s="27">
        <f>Total_de_Decoração_real</f>
        <v>20720</v>
      </c>
      <c r="E11" s="27">
        <f>ResumoDoOrçamento[[#This Row],[ESTIMADO]]-ResumoDoOrçamento[[#This Row],[REAL]]</f>
        <v>4280</v>
      </c>
    </row>
    <row r="12" spans="1:5" ht="25.95" customHeight="1">
      <c r="B12" s="25" t="s">
        <v>7</v>
      </c>
      <c r="C12" s="27">
        <f>Total_de_Flores_est</f>
        <v>0</v>
      </c>
      <c r="D12" s="27">
        <f>Total_de_Flores_real</f>
        <v>850</v>
      </c>
      <c r="E12" s="27">
        <f>ResumoDoOrçamento[[#This Row],[ESTIMADO]]-ResumoDoOrçamento[[#This Row],[REAL]]</f>
        <v>-850</v>
      </c>
    </row>
    <row r="13" spans="1:5" ht="25.95" customHeight="1">
      <c r="B13" s="25" t="s">
        <v>8</v>
      </c>
      <c r="C13" s="27">
        <f>Total_de_Presentes_est</f>
        <v>0</v>
      </c>
      <c r="D13" s="27">
        <f>Total_de_Presentes_real</f>
        <v>0</v>
      </c>
      <c r="E13" s="27">
        <f>ResumoDoOrçamento[[#This Row],[ESTIMADO]]-ResumoDoOrçamento[[#This Row],[REAL]]</f>
        <v>0</v>
      </c>
    </row>
    <row r="14" spans="1:5" ht="25.95" customHeight="1">
      <c r="B14" s="25" t="s">
        <v>9</v>
      </c>
      <c r="C14" s="27">
        <f>Total_da_Viagem_Transporte_est</f>
        <v>0</v>
      </c>
      <c r="D14" s="27">
        <f>Total_de_Viagem_transporte_real</f>
        <v>0</v>
      </c>
      <c r="E14" s="27">
        <f>ResumoDoOrçamento[[#This Row],[ESTIMADO]]-ResumoDoOrçamento[[#This Row],[REAL]]</f>
        <v>0</v>
      </c>
    </row>
    <row r="15" spans="1:5" ht="25.95" customHeight="1">
      <c r="B15" s="25" t="s">
        <v>10</v>
      </c>
      <c r="C15" s="27">
        <f>Total_de_Outras_despesas_est</f>
        <v>2500</v>
      </c>
      <c r="D15" s="27">
        <f>Total_de_Outras_despesas_real</f>
        <v>0</v>
      </c>
      <c r="E15" s="27">
        <f>ResumoDoOrçamento[[#This Row],[ESTIMADO]]-ResumoDoOrçamento[[#This Row],[REAL]]</f>
        <v>2500</v>
      </c>
    </row>
    <row r="16" spans="1:5" ht="25.95" customHeight="1">
      <c r="B16" s="26" t="s">
        <v>11</v>
      </c>
      <c r="C16" s="37">
        <f>SUBTOTAL(109,ResumoDoOrçamento[ESTIMADO])</f>
        <v>59875</v>
      </c>
      <c r="D16" s="37">
        <f>SUBTOTAL(109,ResumoDoOrçamento[REAL])</f>
        <v>25915</v>
      </c>
      <c r="E16" s="37">
        <f>SUBTOTAL(109,ResumoDoOrçamento[ACIMA/ABAIXO])</f>
        <v>33960</v>
      </c>
    </row>
    <row r="17" spans="1:5" ht="25.95" customHeight="1">
      <c r="C17"/>
      <c r="D17"/>
      <c r="E17"/>
    </row>
    <row r="18" spans="1:5" ht="325.2" customHeight="1">
      <c r="A18" s="4"/>
      <c r="B18" s="23"/>
      <c r="C18" s="13"/>
      <c r="D18" s="13"/>
      <c r="E18" s="14"/>
    </row>
    <row r="19" spans="1:5" ht="15" customHeight="1">
      <c r="B19" s="20"/>
      <c r="C19" s="20"/>
      <c r="D19" s="20"/>
      <c r="E19" s="20"/>
    </row>
    <row r="20" spans="1:5" ht="15" customHeight="1">
      <c r="B20" s="12"/>
      <c r="C20" s="12"/>
      <c r="D20" s="12"/>
      <c r="E20" s="12"/>
    </row>
    <row r="21" spans="1:5" ht="15" customHeight="1">
      <c r="B21" s="12"/>
      <c r="C21" s="12"/>
      <c r="D21" s="12"/>
      <c r="E21" s="12"/>
    </row>
    <row r="22" spans="1:5" ht="15" customHeight="1">
      <c r="B22" s="12"/>
      <c r="C22" s="12"/>
      <c r="D22" s="12"/>
      <c r="E22" s="12"/>
    </row>
    <row r="23" spans="1:5" ht="15" customHeight="1">
      <c r="B23" s="12"/>
      <c r="C23" s="12"/>
      <c r="D23" s="12"/>
      <c r="E23" s="12"/>
    </row>
    <row r="24" spans="1:5" ht="15" customHeight="1">
      <c r="B24" s="12"/>
      <c r="C24" s="12"/>
      <c r="D24" s="12"/>
      <c r="E24" s="12"/>
    </row>
    <row r="25" spans="1:5" ht="15" customHeight="1">
      <c r="B25" s="12"/>
      <c r="C25" s="12"/>
      <c r="D25" s="12"/>
      <c r="E25" s="12"/>
    </row>
    <row r="26" spans="1:5" ht="15" customHeight="1">
      <c r="B26" s="12"/>
      <c r="C26" s="12"/>
      <c r="D26" s="12"/>
      <c r="E26" s="12"/>
    </row>
    <row r="27" spans="1:5" ht="15" customHeight="1">
      <c r="B27" s="12"/>
      <c r="C27" s="12"/>
      <c r="D27" s="12"/>
      <c r="E27" s="12"/>
    </row>
    <row r="28" spans="1:5" ht="15" customHeight="1">
      <c r="B28" s="12"/>
      <c r="C28" s="12"/>
      <c r="D28" s="12"/>
      <c r="E28" s="12"/>
    </row>
    <row r="29" spans="1:5" ht="15" customHeight="1">
      <c r="B29" s="12"/>
      <c r="C29" s="12"/>
      <c r="D29" s="12"/>
      <c r="E29" s="12"/>
    </row>
    <row r="30" spans="1:5" ht="15" customHeight="1">
      <c r="B30" s="12"/>
      <c r="C30" s="12"/>
      <c r="D30" s="12"/>
      <c r="E30" s="12"/>
    </row>
    <row r="31" spans="1:5" ht="15" customHeight="1">
      <c r="B31" s="12"/>
      <c r="C31" s="12"/>
      <c r="D31" s="12"/>
      <c r="E31" s="12"/>
    </row>
    <row r="32" spans="1:5" ht="15" customHeight="1">
      <c r="B32" s="12"/>
      <c r="C32" s="12"/>
      <c r="D32" s="12"/>
      <c r="E32" s="12"/>
    </row>
    <row r="33" spans="2:5" ht="15" customHeight="1">
      <c r="B33" s="12"/>
      <c r="C33" s="12"/>
      <c r="D33" s="12"/>
      <c r="E33" s="12"/>
    </row>
    <row r="34" spans="2:5" ht="15" customHeight="1">
      <c r="B34" s="12"/>
      <c r="C34" s="12"/>
      <c r="D34" s="12"/>
      <c r="E34" s="12"/>
    </row>
  </sheetData>
  <mergeCells count="6">
    <mergeCell ref="B2:E2"/>
    <mergeCell ref="B1:E1"/>
    <mergeCell ref="B4:C4"/>
    <mergeCell ref="B3:C3"/>
    <mergeCell ref="D3:E3"/>
    <mergeCell ref="D4:E4"/>
  </mergeCells>
  <phoneticPr fontId="2" type="noConversion"/>
  <conditionalFormatting sqref="E6:E15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4">
    <dataValidation allowBlank="1" showInputMessage="1" showErrorMessage="1" prompt="O gráfico de pizza que mostra a porcentagem de despesas de cada categoria está nesta célula." sqref="B18" xr:uid="{72DF6450-0854-4C5B-832E-B09AFB782484}"/>
    <dataValidation allowBlank="1" showInputMessage="1" showErrorMessage="1" prompt="A Tabela Resumo do Orçamento que começa na célula B5 é atualizada automaticamente. A próxima instrução está na célula A18." sqref="A5" xr:uid="{34F30B46-F2DB-4595-8A61-0CFFBF8BEE21}"/>
    <dataValidation allowBlank="1" showInputMessage="1" showErrorMessage="1" prompt="O gráfico de pizza na célula B18 é atualizado automaticamente." sqref="A18" xr:uid="{274F8FE5-6543-4EDC-AB56-6F20700BB144}"/>
    <dataValidation allowBlank="1" showInputMessage="1" showErrorMessage="1" prompt="Criar um Orçamento de Casamento nesta planilha. _x000a__x000a_Insira os detalhes nas tabelas da planilha Despesas para atualizar o resumo e o gráfico na planilha atual. _x000a_" sqref="A1" xr:uid="{825CEAAC-7554-4E3E-817A-23B17CBA969C}"/>
  </dataValidations>
  <printOptions horizontalCentered="1" verticalCentered="1"/>
  <pageMargins left="0.25" right="0.25" top="0.5" bottom="0.5" header="0.3" footer="0.3"/>
  <pageSetup paperSize="9" orientation="portrait" r:id="rId1"/>
  <headerFooter differentFirst="1" alignWithMargins="0">
    <oddFooter>Page &amp;P of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249977111117893"/>
    <pageSetUpPr fitToPage="1"/>
  </sheetPr>
  <dimension ref="A1:F99"/>
  <sheetViews>
    <sheetView showGridLines="0" tabSelected="1" topLeftCell="A54" zoomScaleNormal="100" workbookViewId="0">
      <selection activeCell="E57" sqref="E57"/>
    </sheetView>
  </sheetViews>
  <sheetFormatPr defaultColWidth="9" defaultRowHeight="20.25" customHeight="1"/>
  <cols>
    <col min="1" max="1" width="3" style="6" customWidth="1"/>
    <col min="2" max="2" width="40.88671875" style="11" customWidth="1"/>
    <col min="3" max="4" width="29.109375" style="15" customWidth="1"/>
    <col min="5" max="5" width="29.109375" style="16" customWidth="1"/>
    <col min="6" max="6" width="3" customWidth="1"/>
  </cols>
  <sheetData>
    <row r="1" spans="1:6" ht="16.2" customHeight="1">
      <c r="A1" s="8"/>
      <c r="B1" s="45"/>
      <c r="C1" s="45"/>
      <c r="D1" s="45"/>
      <c r="E1" s="45"/>
    </row>
    <row r="2" spans="1:6" ht="100.2" customHeight="1">
      <c r="B2" s="46" t="s">
        <v>16</v>
      </c>
      <c r="C2" s="47"/>
      <c r="D2" s="47"/>
      <c r="E2" s="47"/>
    </row>
    <row r="3" spans="1:6" ht="40.200000000000003" customHeight="1">
      <c r="A3" s="8"/>
      <c r="B3" s="48" t="s">
        <v>17</v>
      </c>
      <c r="C3" s="48"/>
      <c r="D3" s="48"/>
      <c r="E3" s="48"/>
    </row>
    <row r="4" spans="1:6" ht="25.95" customHeight="1">
      <c r="A4" s="10"/>
      <c r="B4" s="28" t="s">
        <v>2</v>
      </c>
      <c r="C4" s="29" t="s">
        <v>12</v>
      </c>
      <c r="D4" s="29" t="s">
        <v>14</v>
      </c>
      <c r="E4" s="29" t="s">
        <v>104</v>
      </c>
      <c r="F4" t="s">
        <v>100</v>
      </c>
    </row>
    <row r="5" spans="1:6" ht="25.95" customHeight="1">
      <c r="B5" s="30" t="s">
        <v>18</v>
      </c>
      <c r="C5" s="34">
        <v>1500</v>
      </c>
      <c r="D5" s="34">
        <v>1500</v>
      </c>
      <c r="E5" s="34">
        <f>Despesas!$C5-Despesas!$D5</f>
        <v>0</v>
      </c>
    </row>
    <row r="6" spans="1:6" ht="25.95" customHeight="1">
      <c r="B6" s="30" t="s">
        <v>102</v>
      </c>
      <c r="C6" s="34">
        <v>3500</v>
      </c>
      <c r="D6" s="34">
        <v>0</v>
      </c>
      <c r="E6" s="34">
        <f>Despesas!$C6-Despesas!$D6</f>
        <v>3500</v>
      </c>
    </row>
    <row r="7" spans="1:6" ht="25.95" customHeight="1">
      <c r="B7" s="31" t="s">
        <v>19</v>
      </c>
      <c r="C7" s="34">
        <v>3000</v>
      </c>
      <c r="D7" s="34">
        <v>0</v>
      </c>
      <c r="E7" s="34">
        <f>Despesas!$C7-Despesas!$D7</f>
        <v>3000</v>
      </c>
    </row>
    <row r="8" spans="1:6" ht="25.95" customHeight="1">
      <c r="B8" s="31" t="s">
        <v>103</v>
      </c>
      <c r="C8" s="34">
        <v>7000</v>
      </c>
      <c r="D8" s="34">
        <v>0</v>
      </c>
      <c r="E8" s="34">
        <f>Despesas!$C8-Despesas!$D8</f>
        <v>7000</v>
      </c>
    </row>
    <row r="9" spans="1:6" ht="25.95" customHeight="1">
      <c r="B9" s="31" t="s">
        <v>20</v>
      </c>
      <c r="C9" s="34">
        <v>0</v>
      </c>
      <c r="D9" s="34">
        <v>0</v>
      </c>
      <c r="E9" s="34">
        <f>Despesas!$C9-Despesas!$D9</f>
        <v>0</v>
      </c>
    </row>
    <row r="10" spans="1:6" ht="25.95" customHeight="1">
      <c r="B10" s="31" t="s">
        <v>21</v>
      </c>
      <c r="C10" s="34">
        <v>0</v>
      </c>
      <c r="D10" s="34">
        <v>0</v>
      </c>
      <c r="E10" s="34">
        <f>Despesas!$C10-Despesas!$D10</f>
        <v>0</v>
      </c>
    </row>
    <row r="11" spans="1:6" ht="25.95" customHeight="1">
      <c r="B11" s="31" t="s">
        <v>22</v>
      </c>
      <c r="C11" s="34">
        <v>0</v>
      </c>
      <c r="D11" s="34">
        <v>0</v>
      </c>
      <c r="E11" s="34">
        <f>Despesas!$C11-Despesas!$D11</f>
        <v>0</v>
      </c>
    </row>
    <row r="12" spans="1:6" ht="25.95" customHeight="1">
      <c r="B12" s="30" t="s">
        <v>23</v>
      </c>
      <c r="C12" s="34">
        <v>0</v>
      </c>
      <c r="D12" s="34">
        <v>0</v>
      </c>
      <c r="E12" s="34">
        <f>Despesas!$C12-Despesas!$D12</f>
        <v>0</v>
      </c>
    </row>
    <row r="13" spans="1:6" ht="25.95" customHeight="1">
      <c r="B13" s="31" t="s">
        <v>24</v>
      </c>
      <c r="C13" s="34">
        <v>0</v>
      </c>
      <c r="D13" s="34">
        <v>0</v>
      </c>
      <c r="E13" s="34">
        <f>Despesas!$C13-Despesas!$D13</f>
        <v>0</v>
      </c>
    </row>
    <row r="14" spans="1:6" ht="25.95" customHeight="1">
      <c r="B14" s="31" t="s">
        <v>25</v>
      </c>
      <c r="C14" s="34">
        <v>0</v>
      </c>
      <c r="D14" s="34">
        <v>0</v>
      </c>
      <c r="E14" s="34">
        <f>Despesas!$C14-Despesas!$D14</f>
        <v>0</v>
      </c>
    </row>
    <row r="15" spans="1:6" ht="25.95" customHeight="1">
      <c r="B15" s="30" t="s">
        <v>26</v>
      </c>
      <c r="C15" s="34">
        <v>0</v>
      </c>
      <c r="D15" s="34">
        <v>0</v>
      </c>
      <c r="E15" s="34">
        <f>Despesas!$C15-Despesas!$D15</f>
        <v>0</v>
      </c>
    </row>
    <row r="16" spans="1:6" ht="25.95" customHeight="1">
      <c r="B16" s="31" t="s">
        <v>27</v>
      </c>
      <c r="C16" s="34">
        <v>0</v>
      </c>
      <c r="D16" s="34">
        <v>0</v>
      </c>
      <c r="E16" s="34">
        <f>Despesas!$C16-Despesas!$D16</f>
        <v>0</v>
      </c>
    </row>
    <row r="17" spans="1:5" ht="25.95" customHeight="1">
      <c r="A17" s="9"/>
      <c r="B17" s="31" t="s">
        <v>28</v>
      </c>
      <c r="C17" s="34">
        <v>0</v>
      </c>
      <c r="D17" s="34">
        <v>0</v>
      </c>
      <c r="E17" s="34">
        <f>Despesas!$C17-Despesas!$D17</f>
        <v>0</v>
      </c>
    </row>
    <row r="18" spans="1:5" ht="25.95" customHeight="1">
      <c r="A18" s="8"/>
      <c r="B18" s="33" t="s">
        <v>29</v>
      </c>
      <c r="C18" s="35">
        <f>SUBTOTAL(109,Vestuário[ESTIMADO])</f>
        <v>15000</v>
      </c>
      <c r="D18" s="35">
        <f>SUBTOTAL(109,Vestuário[REAL])</f>
        <v>1500</v>
      </c>
      <c r="E18" s="35">
        <f>SUBTOTAL(109,Vestuário[ACIMA/ABAIXO/RESTANTE])</f>
        <v>13500</v>
      </c>
    </row>
    <row r="19" spans="1:5" ht="40.200000000000003" customHeight="1">
      <c r="A19" s="8"/>
      <c r="B19" s="48" t="s">
        <v>30</v>
      </c>
      <c r="C19" s="48"/>
      <c r="D19" s="48"/>
      <c r="E19" s="48"/>
    </row>
    <row r="20" spans="1:5" ht="25.95" customHeight="1">
      <c r="A20" s="4"/>
      <c r="B20" s="28" t="s">
        <v>2</v>
      </c>
      <c r="C20" s="29" t="s">
        <v>12</v>
      </c>
      <c r="D20" s="29" t="s">
        <v>14</v>
      </c>
      <c r="E20" s="29" t="s">
        <v>104</v>
      </c>
    </row>
    <row r="21" spans="1:5" ht="25.95" customHeight="1">
      <c r="B21" s="30" t="s">
        <v>31</v>
      </c>
      <c r="C21" s="34">
        <v>2000</v>
      </c>
      <c r="D21" s="34">
        <v>0</v>
      </c>
      <c r="E21" s="34">
        <f>Despesas!$C21-Despesas!$D21</f>
        <v>2000</v>
      </c>
    </row>
    <row r="22" spans="1:5" ht="25.95" customHeight="1">
      <c r="B22" s="30" t="s">
        <v>32</v>
      </c>
      <c r="C22" s="34">
        <v>0</v>
      </c>
      <c r="D22" s="34">
        <v>0</v>
      </c>
      <c r="E22" s="34">
        <f>Despesas!$C22-Despesas!$D22</f>
        <v>0</v>
      </c>
    </row>
    <row r="23" spans="1:5" ht="25.95" customHeight="1">
      <c r="B23" s="31" t="s">
        <v>33</v>
      </c>
      <c r="C23" s="34">
        <v>13750</v>
      </c>
      <c r="D23" s="34">
        <v>0</v>
      </c>
      <c r="E23" s="34">
        <f>Despesas!$C23-Despesas!$D23</f>
        <v>13750</v>
      </c>
    </row>
    <row r="24" spans="1:5" ht="25.95" customHeight="1">
      <c r="B24" s="31" t="s">
        <v>34</v>
      </c>
      <c r="C24" s="34">
        <v>0</v>
      </c>
      <c r="D24" s="34">
        <v>0</v>
      </c>
      <c r="E24" s="34">
        <f>Despesas!$C24-Despesas!$D24</f>
        <v>0</v>
      </c>
    </row>
    <row r="25" spans="1:5" ht="25.95" customHeight="1">
      <c r="B25" s="31" t="s">
        <v>35</v>
      </c>
      <c r="C25" s="34">
        <v>0</v>
      </c>
      <c r="D25" s="34">
        <v>0</v>
      </c>
      <c r="E25" s="34">
        <f>Despesas!$C25-Despesas!$D25</f>
        <v>0</v>
      </c>
    </row>
    <row r="26" spans="1:5" ht="25.95" customHeight="1">
      <c r="B26" s="31" t="s">
        <v>36</v>
      </c>
      <c r="C26" s="34">
        <v>0</v>
      </c>
      <c r="D26" s="34">
        <v>0</v>
      </c>
      <c r="E26" s="34">
        <f>Despesas!$C26-Despesas!$D26</f>
        <v>0</v>
      </c>
    </row>
    <row r="27" spans="1:5" ht="25.95" customHeight="1">
      <c r="B27" s="31" t="s">
        <v>37</v>
      </c>
      <c r="C27" s="34">
        <v>0</v>
      </c>
      <c r="D27" s="34">
        <v>0</v>
      </c>
      <c r="E27" s="34">
        <f>Despesas!$C27-Despesas!$D27</f>
        <v>0</v>
      </c>
    </row>
    <row r="28" spans="1:5" ht="25.95" customHeight="1">
      <c r="B28" s="31" t="s">
        <v>38</v>
      </c>
      <c r="C28" s="34">
        <v>0</v>
      </c>
      <c r="D28" s="34">
        <v>0</v>
      </c>
      <c r="E28" s="34">
        <f>Despesas!$C28-Despesas!$D28</f>
        <v>0</v>
      </c>
    </row>
    <row r="29" spans="1:5" ht="25.95" customHeight="1">
      <c r="A29" s="8"/>
      <c r="B29" s="33" t="s">
        <v>39</v>
      </c>
      <c r="C29" s="35">
        <f>SUBTOTAL(109,Recepção[ESTIMADO])</f>
        <v>15750</v>
      </c>
      <c r="D29" s="35">
        <f>SUBTOTAL(109,Recepção[REAL])</f>
        <v>0</v>
      </c>
      <c r="E29" s="35">
        <f>SUBTOTAL(109,Recepção[ACIMA/ABAIXO/RESTANTE])</f>
        <v>15750</v>
      </c>
    </row>
    <row r="30" spans="1:5" ht="25.95" customHeight="1">
      <c r="B30" s="17" t="s">
        <v>40</v>
      </c>
      <c r="C30" s="17"/>
      <c r="D30" s="17"/>
      <c r="E30" s="19"/>
    </row>
    <row r="31" spans="1:5" ht="40.200000000000003" customHeight="1">
      <c r="A31" s="8"/>
      <c r="B31" s="48" t="s">
        <v>41</v>
      </c>
      <c r="C31" s="48"/>
      <c r="D31" s="48"/>
      <c r="E31" s="48"/>
    </row>
    <row r="32" spans="1:5" ht="25.95" customHeight="1">
      <c r="A32" s="7"/>
      <c r="B32" s="28" t="s">
        <v>2</v>
      </c>
      <c r="C32" s="29" t="s">
        <v>12</v>
      </c>
      <c r="D32" s="29" t="s">
        <v>14</v>
      </c>
      <c r="E32" s="29" t="s">
        <v>104</v>
      </c>
    </row>
    <row r="33" spans="1:5" ht="25.95" customHeight="1">
      <c r="A33" s="8"/>
      <c r="B33" s="30" t="s">
        <v>42</v>
      </c>
      <c r="C33" s="34">
        <v>0</v>
      </c>
      <c r="D33" s="34">
        <v>400</v>
      </c>
      <c r="E33" s="34">
        <f>Despesas!$C33-Despesas!$D33</f>
        <v>-400</v>
      </c>
    </row>
    <row r="34" spans="1:5" ht="25.95" customHeight="1">
      <c r="B34" s="31" t="s">
        <v>43</v>
      </c>
      <c r="C34" s="34">
        <v>0</v>
      </c>
      <c r="D34" s="34">
        <v>0</v>
      </c>
      <c r="E34" s="34">
        <f>Despesas!$C34-Despesas!$D34</f>
        <v>0</v>
      </c>
    </row>
    <row r="35" spans="1:5" ht="25.95" customHeight="1">
      <c r="B35" s="32" t="s">
        <v>44</v>
      </c>
      <c r="C35" s="35">
        <f>SUBTOTAL(109,Música[ESTIMADO])</f>
        <v>0</v>
      </c>
      <c r="D35" s="35">
        <f>SUBTOTAL(109,Música[REAL])</f>
        <v>400</v>
      </c>
      <c r="E35" s="35">
        <f>SUBTOTAL(109,Música[ACIMA/ABAIXO/RESTANTE])</f>
        <v>-400</v>
      </c>
    </row>
    <row r="36" spans="1:5" ht="40.200000000000003" customHeight="1">
      <c r="A36" s="8"/>
      <c r="B36" s="48" t="s">
        <v>45</v>
      </c>
      <c r="C36" s="48"/>
      <c r="D36" s="48"/>
      <c r="E36" s="48"/>
    </row>
    <row r="37" spans="1:5" ht="25.95" customHeight="1">
      <c r="B37" s="28" t="s">
        <v>2</v>
      </c>
      <c r="C37" s="29" t="s">
        <v>12</v>
      </c>
      <c r="D37" s="29" t="s">
        <v>14</v>
      </c>
      <c r="E37" s="29" t="s">
        <v>104</v>
      </c>
    </row>
    <row r="38" spans="1:5" ht="25.95" customHeight="1">
      <c r="B38" s="31" t="s">
        <v>46</v>
      </c>
      <c r="C38" s="34">
        <v>0</v>
      </c>
      <c r="D38" s="34">
        <v>450</v>
      </c>
      <c r="E38" s="34">
        <f>Despesas!$C38-Despesas!$D38</f>
        <v>-450</v>
      </c>
    </row>
    <row r="39" spans="1:5" ht="25.95" customHeight="1">
      <c r="B39" s="31" t="s">
        <v>47</v>
      </c>
      <c r="C39" s="34">
        <v>0</v>
      </c>
      <c r="D39" s="34">
        <v>175</v>
      </c>
      <c r="E39" s="34">
        <f>Despesas!$C39-Despesas!$D39</f>
        <v>-175</v>
      </c>
    </row>
    <row r="40" spans="1:5" ht="25.95" customHeight="1">
      <c r="B40" s="31" t="s">
        <v>48</v>
      </c>
      <c r="C40" s="34">
        <v>0</v>
      </c>
      <c r="D40" s="34">
        <v>100</v>
      </c>
      <c r="E40" s="34">
        <f>Despesas!$C40-Despesas!$D40</f>
        <v>-100</v>
      </c>
    </row>
    <row r="41" spans="1:5" ht="25.95" customHeight="1">
      <c r="B41" s="31" t="s">
        <v>49</v>
      </c>
      <c r="C41" s="34">
        <v>0</v>
      </c>
      <c r="D41" s="34">
        <v>0</v>
      </c>
      <c r="E41" s="34">
        <f>Despesas!$C41-Despesas!$D41</f>
        <v>0</v>
      </c>
    </row>
    <row r="42" spans="1:5" ht="25.95" customHeight="1">
      <c r="B42" s="31" t="s">
        <v>50</v>
      </c>
      <c r="C42" s="34">
        <v>0</v>
      </c>
      <c r="D42" s="34">
        <v>25</v>
      </c>
      <c r="E42" s="34">
        <f>Despesas!$C42-Despesas!$D42</f>
        <v>-25</v>
      </c>
    </row>
    <row r="43" spans="1:5" ht="25.95" customHeight="1">
      <c r="A43" s="7"/>
      <c r="B43" s="31" t="s">
        <v>51</v>
      </c>
      <c r="C43" s="34">
        <v>0</v>
      </c>
      <c r="D43" s="34">
        <v>80</v>
      </c>
      <c r="E43" s="34">
        <f>Despesas!$C43-Despesas!$D43</f>
        <v>-80</v>
      </c>
    </row>
    <row r="44" spans="1:5" ht="25.95" customHeight="1">
      <c r="A44" s="8"/>
      <c r="B44" s="31" t="s">
        <v>52</v>
      </c>
      <c r="C44" s="34">
        <v>0</v>
      </c>
      <c r="D44" s="34">
        <v>40</v>
      </c>
      <c r="E44" s="34">
        <f>Despesas!$C44-Despesas!$D44</f>
        <v>-40</v>
      </c>
    </row>
    <row r="45" spans="1:5" ht="25.95" customHeight="1">
      <c r="B45" s="31" t="s">
        <v>53</v>
      </c>
      <c r="C45" s="34">
        <v>0</v>
      </c>
      <c r="D45" s="34">
        <v>0</v>
      </c>
      <c r="E45" s="34">
        <f>Despesas!$C45-Despesas!$D45</f>
        <v>0</v>
      </c>
    </row>
    <row r="46" spans="1:5" ht="25.95" customHeight="1">
      <c r="B46" s="31" t="s">
        <v>54</v>
      </c>
      <c r="C46" s="34">
        <v>0</v>
      </c>
      <c r="D46" s="34">
        <v>0</v>
      </c>
      <c r="E46" s="34">
        <f>Despesas!$C46-Despesas!$D46</f>
        <v>0</v>
      </c>
    </row>
    <row r="47" spans="1:5" ht="25.95" customHeight="1">
      <c r="B47" s="32" t="s">
        <v>55</v>
      </c>
      <c r="C47" s="35">
        <f>SUBTOTAL(109,Impressão[ESTIMADO])</f>
        <v>0</v>
      </c>
      <c r="D47" s="35">
        <f>SUBTOTAL(109,Impressão[REAL])</f>
        <v>870</v>
      </c>
      <c r="E47" s="35">
        <f>SUBTOTAL(109,Impressão[ACIMA/ABAIXO/RESTANTE])</f>
        <v>-870</v>
      </c>
    </row>
    <row r="48" spans="1:5" ht="40.200000000000003" customHeight="1">
      <c r="A48" s="8"/>
      <c r="B48" s="48" t="s">
        <v>56</v>
      </c>
      <c r="C48" s="48"/>
      <c r="D48" s="48"/>
      <c r="E48" s="48"/>
    </row>
    <row r="49" spans="1:5" ht="25.95" customHeight="1">
      <c r="A49" s="4"/>
      <c r="B49" s="28" t="s">
        <v>2</v>
      </c>
      <c r="C49" s="29" t="s">
        <v>12</v>
      </c>
      <c r="D49" s="29" t="s">
        <v>14</v>
      </c>
      <c r="E49" s="29" t="s">
        <v>104</v>
      </c>
    </row>
    <row r="50" spans="1:5" ht="25.95" customHeight="1">
      <c r="B50" s="31" t="s">
        <v>57</v>
      </c>
      <c r="C50" s="34">
        <v>1300</v>
      </c>
      <c r="D50" s="34">
        <v>1300</v>
      </c>
      <c r="E50" s="34">
        <f>Despesas!$C50-Despesas!$D50</f>
        <v>0</v>
      </c>
    </row>
    <row r="51" spans="1:5" ht="25.95" customHeight="1">
      <c r="B51" s="31" t="s">
        <v>58</v>
      </c>
      <c r="C51" s="34">
        <v>25</v>
      </c>
      <c r="D51" s="34">
        <v>25</v>
      </c>
      <c r="E51" s="34">
        <f>Despesas!$C51-Despesas!$D51</f>
        <v>0</v>
      </c>
    </row>
    <row r="52" spans="1:5" ht="25.95" customHeight="1">
      <c r="B52" s="31" t="s">
        <v>59</v>
      </c>
      <c r="C52" s="34">
        <v>100</v>
      </c>
      <c r="D52" s="34">
        <v>100</v>
      </c>
      <c r="E52" s="34">
        <f>Despesas!$C52-Despesas!$D52</f>
        <v>0</v>
      </c>
    </row>
    <row r="53" spans="1:5" ht="25.95" customHeight="1">
      <c r="B53" s="31" t="s">
        <v>60</v>
      </c>
      <c r="C53" s="34">
        <v>200</v>
      </c>
      <c r="D53" s="34">
        <v>150</v>
      </c>
      <c r="E53" s="34">
        <f>Despesas!$C53-Despesas!$D53</f>
        <v>50</v>
      </c>
    </row>
    <row r="54" spans="1:5" ht="25.95" customHeight="1">
      <c r="B54" s="32" t="s">
        <v>61</v>
      </c>
      <c r="C54" s="35">
        <f>SUBTOTAL(109,Fotografia[ESTIMADO])</f>
        <v>1625</v>
      </c>
      <c r="D54" s="35">
        <f>SUBTOTAL(109,Fotografia[REAL])</f>
        <v>1575</v>
      </c>
      <c r="E54" s="35">
        <f>SUBTOTAL(109,Fotografia[ACIMA/ABAIXO/RESTANTE])</f>
        <v>50</v>
      </c>
    </row>
    <row r="55" spans="1:5" s="22" customFormat="1" ht="40.200000000000003" customHeight="1">
      <c r="A55" s="21"/>
      <c r="B55" s="48" t="s">
        <v>62</v>
      </c>
      <c r="C55" s="48"/>
      <c r="D55" s="48"/>
      <c r="E55" s="48"/>
    </row>
    <row r="56" spans="1:5" ht="25.95" customHeight="1">
      <c r="B56" s="28" t="s">
        <v>2</v>
      </c>
      <c r="C56" s="29" t="s">
        <v>12</v>
      </c>
      <c r="D56" s="29" t="s">
        <v>14</v>
      </c>
      <c r="E56" s="29" t="s">
        <v>104</v>
      </c>
    </row>
    <row r="57" spans="1:5" ht="25.95" customHeight="1">
      <c r="B57" s="30" t="s">
        <v>105</v>
      </c>
      <c r="C57" s="34">
        <v>25000</v>
      </c>
      <c r="D57" s="34">
        <v>20000</v>
      </c>
      <c r="E57" s="34">
        <f>Despesas!$C57-Despesas!$D57</f>
        <v>5000</v>
      </c>
    </row>
    <row r="58" spans="1:5" ht="25.95" customHeight="1">
      <c r="B58" s="31" t="s">
        <v>63</v>
      </c>
      <c r="C58" s="34">
        <v>0</v>
      </c>
      <c r="D58" s="34">
        <v>320</v>
      </c>
      <c r="E58" s="34">
        <f>Despesas!$C58-Despesas!$D58</f>
        <v>-320</v>
      </c>
    </row>
    <row r="59" spans="1:5" ht="25.95" customHeight="1">
      <c r="B59" s="31" t="s">
        <v>64</v>
      </c>
      <c r="C59" s="34">
        <v>0</v>
      </c>
      <c r="D59" s="34">
        <v>75</v>
      </c>
      <c r="E59" s="34">
        <f>Despesas!$C59-Despesas!$D59</f>
        <v>-75</v>
      </c>
    </row>
    <row r="60" spans="1:5" ht="25.95" customHeight="1">
      <c r="B60" s="31" t="s">
        <v>65</v>
      </c>
      <c r="C60" s="34">
        <v>0</v>
      </c>
      <c r="D60" s="34">
        <v>75</v>
      </c>
      <c r="E60" s="34">
        <f>Despesas!$C60-Despesas!$D60</f>
        <v>-75</v>
      </c>
    </row>
    <row r="61" spans="1:5" ht="25.95" customHeight="1">
      <c r="B61" s="31" t="s">
        <v>66</v>
      </c>
      <c r="C61" s="34">
        <v>0</v>
      </c>
      <c r="D61" s="34">
        <v>250</v>
      </c>
      <c r="E61" s="34">
        <f>Despesas!$C61-Despesas!$D61</f>
        <v>-250</v>
      </c>
    </row>
    <row r="62" spans="1:5" ht="25.95" customHeight="1">
      <c r="B62" s="32" t="s">
        <v>67</v>
      </c>
      <c r="C62" s="35">
        <f>SUBTOTAL(109,Decorações[ESTIMADO])</f>
        <v>25000</v>
      </c>
      <c r="D62" s="35">
        <f>SUBTOTAL(109,Decorações[REAL])</f>
        <v>20720</v>
      </c>
      <c r="E62" s="35">
        <f>SUBTOTAL(109,Decorações[ACIMA/ABAIXO/RESTANTE])</f>
        <v>4280</v>
      </c>
    </row>
    <row r="63" spans="1:5" ht="25.95" customHeight="1">
      <c r="B63" s="18" t="s">
        <v>68</v>
      </c>
      <c r="C63" s="18"/>
      <c r="D63" s="18"/>
      <c r="E63" s="19"/>
    </row>
    <row r="64" spans="1:5" s="22" customFormat="1" ht="30" customHeight="1">
      <c r="A64" s="21"/>
      <c r="B64" s="48" t="s">
        <v>69</v>
      </c>
      <c r="C64" s="48"/>
      <c r="D64" s="48"/>
      <c r="E64" s="48"/>
    </row>
    <row r="65" spans="1:5" ht="25.95" customHeight="1">
      <c r="B65" s="28" t="s">
        <v>2</v>
      </c>
      <c r="C65" s="29" t="s">
        <v>12</v>
      </c>
      <c r="D65" s="29" t="s">
        <v>14</v>
      </c>
      <c r="E65" s="29" t="s">
        <v>104</v>
      </c>
    </row>
    <row r="66" spans="1:5" ht="25.95" customHeight="1">
      <c r="B66" s="31" t="s">
        <v>70</v>
      </c>
      <c r="C66" s="34">
        <v>0</v>
      </c>
      <c r="D66" s="34">
        <v>450</v>
      </c>
      <c r="E66" s="34">
        <f>Despesas!$C66-Despesas!$D66</f>
        <v>-450</v>
      </c>
    </row>
    <row r="67" spans="1:5" ht="25.95" customHeight="1">
      <c r="B67" s="31" t="s">
        <v>71</v>
      </c>
      <c r="C67" s="34">
        <v>0</v>
      </c>
      <c r="D67" s="34">
        <v>0</v>
      </c>
      <c r="E67" s="34">
        <f>Despesas!$C67-Despesas!$D67</f>
        <v>0</v>
      </c>
    </row>
    <row r="68" spans="1:5" ht="25.95" customHeight="1">
      <c r="B68" s="31" t="s">
        <v>72</v>
      </c>
      <c r="C68" s="34">
        <v>0</v>
      </c>
      <c r="D68" s="34">
        <v>0</v>
      </c>
      <c r="E68" s="34">
        <f>Despesas!$C68-Despesas!$D68</f>
        <v>0</v>
      </c>
    </row>
    <row r="69" spans="1:5" ht="25.95" customHeight="1">
      <c r="B69" s="31" t="s">
        <v>73</v>
      </c>
      <c r="C69" s="34">
        <v>0</v>
      </c>
      <c r="D69" s="34">
        <v>400</v>
      </c>
      <c r="E69" s="34">
        <f>Despesas!$C69-Despesas!$D69</f>
        <v>-400</v>
      </c>
    </row>
    <row r="70" spans="1:5" ht="25.95" customHeight="1">
      <c r="B70" s="31" t="s">
        <v>74</v>
      </c>
      <c r="C70" s="34">
        <v>0</v>
      </c>
      <c r="D70" s="34">
        <v>0</v>
      </c>
      <c r="E70" s="34">
        <f>Despesas!$C70-Despesas!$D70</f>
        <v>0</v>
      </c>
    </row>
    <row r="71" spans="1:5" ht="25.95" customHeight="1">
      <c r="B71" s="32" t="s">
        <v>75</v>
      </c>
      <c r="C71" s="35">
        <f>SUBTOTAL(109,Flores[ESTIMADO])</f>
        <v>0</v>
      </c>
      <c r="D71" s="35">
        <f>SUBTOTAL(109,Flores[REAL])</f>
        <v>850</v>
      </c>
      <c r="E71" s="35">
        <f>SUBTOTAL(109,Flores[ACIMA/ABAIXO/RESTANTE])</f>
        <v>-850</v>
      </c>
    </row>
    <row r="72" spans="1:5" s="22" customFormat="1" ht="40.200000000000003" customHeight="1">
      <c r="A72" s="21"/>
      <c r="B72" s="48" t="s">
        <v>76</v>
      </c>
      <c r="C72" s="48"/>
      <c r="D72" s="48"/>
      <c r="E72" s="48"/>
    </row>
    <row r="73" spans="1:5" ht="25.95" customHeight="1">
      <c r="B73" s="28" t="s">
        <v>2</v>
      </c>
      <c r="C73" s="29" t="s">
        <v>12</v>
      </c>
      <c r="D73" s="29" t="s">
        <v>14</v>
      </c>
      <c r="E73" s="29" t="s">
        <v>104</v>
      </c>
    </row>
    <row r="74" spans="1:5" ht="25.95" customHeight="1">
      <c r="B74" s="31" t="s">
        <v>77</v>
      </c>
      <c r="C74" s="34">
        <v>0</v>
      </c>
      <c r="D74" s="34">
        <v>0</v>
      </c>
      <c r="E74" s="34">
        <f>Despesas!$C74-Despesas!$D74</f>
        <v>0</v>
      </c>
    </row>
    <row r="75" spans="1:5" ht="25.95" customHeight="1">
      <c r="B75" s="31" t="s">
        <v>78</v>
      </c>
      <c r="C75" s="34">
        <v>0</v>
      </c>
      <c r="D75" s="34">
        <v>0</v>
      </c>
      <c r="E75" s="34">
        <f>Despesas!$C75-Despesas!$D75</f>
        <v>0</v>
      </c>
    </row>
    <row r="76" spans="1:5" ht="25.95" customHeight="1">
      <c r="B76" s="31" t="s">
        <v>79</v>
      </c>
      <c r="C76" s="34">
        <v>0</v>
      </c>
      <c r="D76" s="34">
        <v>0</v>
      </c>
      <c r="E76" s="34">
        <f>Despesas!$C76-Despesas!$D76</f>
        <v>0</v>
      </c>
    </row>
    <row r="77" spans="1:5" ht="25.95" customHeight="1">
      <c r="B77" s="31" t="s">
        <v>80</v>
      </c>
      <c r="C77" s="34">
        <v>0</v>
      </c>
      <c r="D77" s="34">
        <v>0</v>
      </c>
      <c r="E77" s="34">
        <f>Despesas!$C77-Despesas!$D77</f>
        <v>0</v>
      </c>
    </row>
    <row r="78" spans="1:5" ht="25.95" customHeight="1">
      <c r="B78" s="31" t="s">
        <v>81</v>
      </c>
      <c r="C78" s="34">
        <v>0</v>
      </c>
      <c r="D78" s="34">
        <v>0</v>
      </c>
      <c r="E78" s="34">
        <f>Despesas!$C78-Despesas!$D78</f>
        <v>0</v>
      </c>
    </row>
    <row r="79" spans="1:5" ht="25.95" customHeight="1">
      <c r="B79" s="32" t="s">
        <v>82</v>
      </c>
      <c r="C79" s="35">
        <f>SUBTOTAL(109,Presentes[ESTIMADO])</f>
        <v>0</v>
      </c>
      <c r="D79" s="35">
        <f>SUBTOTAL(109,Presentes[REAL])</f>
        <v>0</v>
      </c>
      <c r="E79" s="35">
        <f>SUBTOTAL(109,Presentes[ACIMA/ABAIXO/RESTANTE])</f>
        <v>0</v>
      </c>
    </row>
    <row r="80" spans="1:5" s="22" customFormat="1" ht="40.200000000000003" customHeight="1">
      <c r="A80" s="21"/>
      <c r="B80" s="48" t="s">
        <v>83</v>
      </c>
      <c r="C80" s="48"/>
      <c r="D80" s="48"/>
      <c r="E80" s="48"/>
    </row>
    <row r="81" spans="1:5" ht="25.95" customHeight="1">
      <c r="B81" s="28" t="s">
        <v>2</v>
      </c>
      <c r="C81" s="29" t="s">
        <v>12</v>
      </c>
      <c r="D81" s="29" t="s">
        <v>14</v>
      </c>
      <c r="E81" s="29" t="s">
        <v>104</v>
      </c>
    </row>
    <row r="82" spans="1:5" ht="25.95" customHeight="1">
      <c r="B82" s="31" t="s">
        <v>84</v>
      </c>
      <c r="C82" s="34">
        <v>0</v>
      </c>
      <c r="D82" s="34">
        <v>0</v>
      </c>
      <c r="E82" s="34">
        <f>Despesas!$C82-Despesas!$D82</f>
        <v>0</v>
      </c>
    </row>
    <row r="83" spans="1:5" ht="25.95" customHeight="1">
      <c r="B83" s="31" t="s">
        <v>85</v>
      </c>
      <c r="C83" s="34">
        <v>0</v>
      </c>
      <c r="D83" s="34">
        <v>0</v>
      </c>
      <c r="E83" s="34">
        <f>Despesas!$C83-Despesas!$D83</f>
        <v>0</v>
      </c>
    </row>
    <row r="84" spans="1:5" ht="25.95" customHeight="1">
      <c r="B84" s="31" t="s">
        <v>86</v>
      </c>
      <c r="C84" s="34">
        <v>0</v>
      </c>
      <c r="D84" s="34">
        <v>0</v>
      </c>
      <c r="E84" s="34">
        <f>Despesas!$C84-Despesas!$D84</f>
        <v>0</v>
      </c>
    </row>
    <row r="85" spans="1:5" ht="25.95" customHeight="1">
      <c r="B85" s="32" t="s">
        <v>87</v>
      </c>
      <c r="C85" s="35">
        <f>SUBTOTAL(109,Viagem[ESTIMADO])</f>
        <v>0</v>
      </c>
      <c r="D85" s="35">
        <f>SUBTOTAL(109,Viagem[REAL])</f>
        <v>0</v>
      </c>
      <c r="E85" s="35">
        <f>SUBTOTAL(109,Viagem[ACIMA/ABAIXO/RESTANTE])</f>
        <v>0</v>
      </c>
    </row>
    <row r="86" spans="1:5" s="22" customFormat="1" ht="40.200000000000003" customHeight="1">
      <c r="A86" s="21"/>
      <c r="B86" s="48" t="s">
        <v>88</v>
      </c>
      <c r="C86" s="48"/>
      <c r="D86" s="48"/>
      <c r="E86" s="48"/>
    </row>
    <row r="87" spans="1:5" ht="25.95" customHeight="1">
      <c r="B87" s="28" t="s">
        <v>2</v>
      </c>
      <c r="C87" s="29" t="s">
        <v>12</v>
      </c>
      <c r="D87" s="29" t="s">
        <v>14</v>
      </c>
      <c r="E87" s="29" t="s">
        <v>104</v>
      </c>
    </row>
    <row r="88" spans="1:5" ht="25.95" customHeight="1">
      <c r="B88" s="30" t="s">
        <v>89</v>
      </c>
      <c r="C88" s="34">
        <v>0</v>
      </c>
      <c r="D88" s="34">
        <v>0</v>
      </c>
      <c r="E88" s="34">
        <f>Despesas!$C88-Despesas!$D88</f>
        <v>0</v>
      </c>
    </row>
    <row r="89" spans="1:5" ht="25.95" customHeight="1">
      <c r="B89" s="31" t="s">
        <v>90</v>
      </c>
      <c r="C89" s="34">
        <v>2500</v>
      </c>
      <c r="D89" s="34">
        <v>0</v>
      </c>
      <c r="E89" s="34">
        <f>Despesas!$C89-Despesas!$D89</f>
        <v>2500</v>
      </c>
    </row>
    <row r="90" spans="1:5" ht="25.95" customHeight="1">
      <c r="B90" s="30" t="s">
        <v>91</v>
      </c>
      <c r="C90" s="34">
        <v>0</v>
      </c>
      <c r="D90" s="34">
        <v>0</v>
      </c>
      <c r="E90" s="34">
        <f>Despesas!$C90-Despesas!$D90</f>
        <v>0</v>
      </c>
    </row>
    <row r="91" spans="1:5" ht="25.95" customHeight="1">
      <c r="B91" s="31" t="s">
        <v>92</v>
      </c>
      <c r="C91" s="34">
        <v>0</v>
      </c>
      <c r="D91" s="34">
        <v>0</v>
      </c>
      <c r="E91" s="34">
        <f>Despesas!$C91-Despesas!$D91</f>
        <v>0</v>
      </c>
    </row>
    <row r="92" spans="1:5" ht="25.95" customHeight="1">
      <c r="B92" s="31" t="s">
        <v>93</v>
      </c>
      <c r="C92" s="34">
        <v>0</v>
      </c>
      <c r="D92" s="34">
        <v>0</v>
      </c>
      <c r="E92" s="34">
        <f>Despesas!$C92-Despesas!$D92</f>
        <v>0</v>
      </c>
    </row>
    <row r="93" spans="1:5" ht="25.95" customHeight="1">
      <c r="B93" s="31" t="s">
        <v>94</v>
      </c>
      <c r="C93" s="34">
        <v>0</v>
      </c>
      <c r="D93" s="34">
        <v>0</v>
      </c>
      <c r="E93" s="34">
        <f>Despesas!$C93-Despesas!$D93</f>
        <v>0</v>
      </c>
    </row>
    <row r="94" spans="1:5" ht="25.95" customHeight="1">
      <c r="B94" s="31" t="s">
        <v>95</v>
      </c>
      <c r="C94" s="34">
        <v>0</v>
      </c>
      <c r="D94" s="34">
        <v>0</v>
      </c>
      <c r="E94" s="34">
        <f>Despesas!$C94-Despesas!$D94</f>
        <v>0</v>
      </c>
    </row>
    <row r="95" spans="1:5" ht="25.95" customHeight="1">
      <c r="B95" s="31" t="s">
        <v>96</v>
      </c>
      <c r="C95" s="34">
        <v>0</v>
      </c>
      <c r="D95" s="34">
        <v>0</v>
      </c>
      <c r="E95" s="34">
        <f>Despesas!$C95-Despesas!$D95</f>
        <v>0</v>
      </c>
    </row>
    <row r="96" spans="1:5" ht="25.95" customHeight="1">
      <c r="B96" s="31" t="s">
        <v>97</v>
      </c>
      <c r="C96" s="34">
        <v>0</v>
      </c>
      <c r="D96" s="34">
        <v>0</v>
      </c>
      <c r="E96" s="34">
        <f>Despesas!$C96-Despesas!$D96</f>
        <v>0</v>
      </c>
    </row>
    <row r="97" spans="1:5" ht="25.95" customHeight="1">
      <c r="B97" s="31" t="s">
        <v>98</v>
      </c>
      <c r="C97" s="34">
        <v>0</v>
      </c>
      <c r="D97" s="34">
        <v>0</v>
      </c>
      <c r="E97" s="34">
        <f>Despesas!$C97-Despesas!$D97</f>
        <v>0</v>
      </c>
    </row>
    <row r="98" spans="1:5" ht="25.95" customHeight="1">
      <c r="B98" s="32" t="s">
        <v>99</v>
      </c>
      <c r="C98" s="35">
        <f>SUBTOTAL(109,OutrasDespesas[ESTIMADO])</f>
        <v>2500</v>
      </c>
      <c r="D98" s="35">
        <f>SUBTOTAL(109,OutrasDespesas[REAL])</f>
        <v>0</v>
      </c>
      <c r="E98" s="35">
        <f>SUBTOTAL(109,OutrasDespesas[ACIMA/ABAIXO/RESTANTE])</f>
        <v>2500</v>
      </c>
    </row>
    <row r="99" spans="1:5" ht="16.2" customHeight="1">
      <c r="A99" s="8"/>
      <c r="B99" s="45"/>
      <c r="C99" s="45"/>
      <c r="D99" s="45"/>
      <c r="E99" s="45"/>
    </row>
  </sheetData>
  <mergeCells count="13">
    <mergeCell ref="B99:E99"/>
    <mergeCell ref="B1:E1"/>
    <mergeCell ref="B2:E2"/>
    <mergeCell ref="B3:E3"/>
    <mergeCell ref="B19:E19"/>
    <mergeCell ref="B31:E31"/>
    <mergeCell ref="B36:E36"/>
    <mergeCell ref="B48:E48"/>
    <mergeCell ref="B55:E55"/>
    <mergeCell ref="B64:E64"/>
    <mergeCell ref="B72:E72"/>
    <mergeCell ref="B80:E80"/>
    <mergeCell ref="B86:E86"/>
  </mergeCells>
  <phoneticPr fontId="16" type="noConversion"/>
  <dataValidations count="10">
    <dataValidation allowBlank="1" showInputMessage="1" showErrorMessage="1" prompt=" Insira os detalhes na tabela Vestuário começando na célula à direita. A próxima instrução está na célula A20." sqref="A4" xr:uid="{AC4FEB9B-9AB5-43C0-ACF6-70C35B6B5F6D}"/>
    <dataValidation allowBlank="1" showInputMessage="1" showErrorMessage="1" prompt="Insira os custos de Recepção, excluindo os custos de entretenimento e decoração na tabela que começa na célula à direita. A próxima instrução está na célula A32." sqref="A20" xr:uid="{712299ED-CF72-4098-9E44-AA92E96D4638}"/>
    <dataValidation allowBlank="1" showInputMessage="1" showErrorMessage="1" prompt="Insira os detalhes na tabela Música começando na célula à direita. A próxima instrução está na célula A37." sqref="A32" xr:uid="{AD279960-E08F-4EE8-8B84-1C29C1EE9BCE}"/>
    <dataValidation allowBlank="1" showInputMessage="1" showErrorMessage="1" prompt="Insira os detalhes na tabela Imprimir começando na célula à direita. A próxima instrução está na célula A49._x000a_" sqref="A37" xr:uid="{4DCDA9AD-8892-4EDA-9D17-A9E9C490A87A}"/>
    <dataValidation allowBlank="1" showInputMessage="1" showErrorMessage="1" prompt="Insira detalhes na tabela Fotografia começando na célula à direita. A próxima instrução está na célula A56." sqref="A49" xr:uid="{A41A973B-083B-4BD4-A21C-8F53AA2F087E}"/>
    <dataValidation allowBlank="1" showInputMessage="1" showErrorMessage="1" prompt="Insira os detalhes na tabela de Decorações começando na célula à direita. A próxima instrução está na célula A65." sqref="A56" xr:uid="{EB6EF4BE-F68D-4A94-8370-F267B1AEA67B}"/>
    <dataValidation allowBlank="1" showInputMessage="1" showErrorMessage="1" prompt="Insira os detalhes na tabela Flores começando na célula à direita. A próxima instrução está na célula A73." sqref="A65" xr:uid="{DBA79E4F-1676-4DEB-8EEF-56DB435F396E}"/>
    <dataValidation allowBlank="1" showInputMessage="1" showErrorMessage="1" prompt="Insira os detalhes na tabela Presentes começando na célula à direita. A próxima instrução está na célula A81." sqref="A73" xr:uid="{D2DA906E-8E6A-4052-83B8-917FA2590E3D}"/>
    <dataValidation allowBlank="1" showInputMessage="1" showErrorMessage="1" prompt="Insira detalhes na tabela Viagem/Transporte começando na célula à direita. A próxima instrução está na célula A87." sqref="A81" xr:uid="{57FFC5A8-7EAC-4AB3-8527-80AE05D4E43A}"/>
    <dataValidation allowBlank="1" showInputMessage="1" showErrorMessage="1" prompt="Insira os detalhes na tabela Outras despesas, começando na célula à direita.  " sqref="A87" xr:uid="{233E90C5-87D0-480E-AC53-3B8C95BF8898}"/>
  </dataValidations>
  <printOptions horizontalCentered="1"/>
  <pageMargins left="0.7" right="0.7" top="0.75" bottom="0.75" header="0.3" footer="0.3"/>
  <pageSetup paperSize="9" scale="80" fitToHeight="0" orientation="portrait" r:id="rId1"/>
  <headerFooter differentFirst="1">
    <oddFooter>Page &amp;P of &amp;N</oddFooter>
  </headerFooter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55" id="{55199E56-DD9C-4A4F-BED9-16F56CCFDA0D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NoIcons" iconId="0"/>
              <x14:cfIcon iconSet="3Arrows" iconId="2"/>
            </x14:iconSet>
          </x14:cfRule>
          <xm:sqref>E5:E17 E21:E28 E33:E34 E38:E46 E50:E53 E57:E61 E66:E70 E74:E78 E82:E84 E88:E97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DC9578A2-3FA9-45E5-AD32-3E5DFD27DB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64526E-4923-4F12-B0F9-ED7800DB3B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4ABAA7-A768-4083-B334-861CAEDB066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TM67770714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20</vt:i4>
      </vt:variant>
    </vt:vector>
  </HeadingPairs>
  <TitlesOfParts>
    <vt:vector size="22" baseType="lpstr">
      <vt:lpstr>Orçamento de casamento</vt:lpstr>
      <vt:lpstr>Despesas</vt:lpstr>
      <vt:lpstr>Total_da_Festa_est</vt:lpstr>
      <vt:lpstr>Total_da_Festa_real</vt:lpstr>
      <vt:lpstr>Total_da_Viagem_Transporte_est</vt:lpstr>
      <vt:lpstr>Total_de_Decoração_est</vt:lpstr>
      <vt:lpstr>Total_de_Decoração_real</vt:lpstr>
      <vt:lpstr>Total_de_Flores_est</vt:lpstr>
      <vt:lpstr>Total_de_Flores_real</vt:lpstr>
      <vt:lpstr>Total_de_Fotografia_est</vt:lpstr>
      <vt:lpstr>Total_de_Fotografia_real</vt:lpstr>
      <vt:lpstr>Total_de_Impressão_gráfica_est</vt:lpstr>
      <vt:lpstr>Total_de_Impressão_gráfica_real</vt:lpstr>
      <vt:lpstr>Total_de_Música_entretenimento_est</vt:lpstr>
      <vt:lpstr>Total_de_Música_entretenimento_real</vt:lpstr>
      <vt:lpstr>Total_de_Outras_despesas_est</vt:lpstr>
      <vt:lpstr>Total_de_Outras_despesas_real</vt:lpstr>
      <vt:lpstr>Total_de_Presentes_est</vt:lpstr>
      <vt:lpstr>Total_de_Presentes_real</vt:lpstr>
      <vt:lpstr>Total_de_Roupas_est</vt:lpstr>
      <vt:lpstr>Total_de_Roupas_real</vt:lpstr>
      <vt:lpstr>Total_de_Viagem_transporte_real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2023-02-23T16:44:39Z</dcterms:created>
  <dcterms:modified xsi:type="dcterms:W3CDTF">2026-01-28T00:11:14Z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